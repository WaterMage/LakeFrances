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een\Documents\Modeling\R\RESEARCH\LF_Working\LF Basics\"/>
    </mc:Choice>
  </mc:AlternateContent>
  <xr:revisionPtr revIDLastSave="0" documentId="8_{31496832-639D-4770-9EA5-6F95123D7377}" xr6:coauthVersionLast="47" xr6:coauthVersionMax="47" xr10:uidLastSave="{00000000-0000-0000-0000-000000000000}"/>
  <bookViews>
    <workbookView xWindow="-108" yWindow="-108" windowWidth="23256" windowHeight="12456" activeTab="1" xr2:uid="{757B8611-AA8D-4CCD-B6F3-47DE16145F88}"/>
  </bookViews>
  <sheets>
    <sheet name="LF_Soil_10_data 030426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AS22" i="2" l="1"/>
  <c r="AR22" i="2"/>
  <c r="P22" i="2"/>
  <c r="O22" i="2"/>
  <c r="M22" i="2"/>
  <c r="L22" i="2"/>
  <c r="K22" i="2"/>
  <c r="AS19" i="2"/>
  <c r="AR19" i="2"/>
  <c r="P19" i="2"/>
  <c r="O19" i="2"/>
  <c r="M19" i="2"/>
  <c r="L19" i="2"/>
  <c r="K19" i="2"/>
  <c r="AS16" i="2"/>
  <c r="AR16" i="2"/>
  <c r="P16" i="2"/>
  <c r="O16" i="2"/>
  <c r="M16" i="2"/>
  <c r="L16" i="2"/>
  <c r="K16" i="2"/>
  <c r="AS13" i="2"/>
  <c r="AR13" i="2"/>
  <c r="P13" i="2"/>
  <c r="O13" i="2"/>
  <c r="L13" i="2"/>
  <c r="M13" i="2"/>
  <c r="K13" i="2"/>
</calcChain>
</file>

<file path=xl/sharedStrings.xml><?xml version="1.0" encoding="utf-8"?>
<sst xmlns="http://schemas.openxmlformats.org/spreadsheetml/2006/main" count="373" uniqueCount="241">
  <si>
    <t xml:space="preserve">Samp_ID </t>
  </si>
  <si>
    <t>Samp_Loc</t>
  </si>
  <si>
    <t>Latitude</t>
  </si>
  <si>
    <t>Longitude</t>
  </si>
  <si>
    <t>UID</t>
  </si>
  <si>
    <t>Depth</t>
  </si>
  <si>
    <t>Unit</t>
  </si>
  <si>
    <t>Area</t>
  </si>
  <si>
    <t>Elev</t>
  </si>
  <si>
    <t>Soil_Type</t>
  </si>
  <si>
    <t>SandPD</t>
  </si>
  <si>
    <t>ClayPD</t>
  </si>
  <si>
    <t>SiltPD</t>
  </si>
  <si>
    <t>pH_soil</t>
  </si>
  <si>
    <t>SMC</t>
  </si>
  <si>
    <t>LOI</t>
  </si>
  <si>
    <t>WEP_2024</t>
  </si>
  <si>
    <t>WEP_2025</t>
  </si>
  <si>
    <t>WEP100</t>
  </si>
  <si>
    <t>MM3P</t>
  </si>
  <si>
    <t>M3P</t>
  </si>
  <si>
    <t>TP</t>
  </si>
  <si>
    <t>Ag_tot</t>
  </si>
  <si>
    <t>Al_tot</t>
  </si>
  <si>
    <t>As_tot</t>
  </si>
  <si>
    <t>Ba_tot</t>
  </si>
  <si>
    <t>Ca_tot</t>
  </si>
  <si>
    <t>Cd_tot</t>
  </si>
  <si>
    <t>Co_tot</t>
  </si>
  <si>
    <t>Cr_tot</t>
  </si>
  <si>
    <t>Cu_tot</t>
  </si>
  <si>
    <t>Fe_tot</t>
  </si>
  <si>
    <t>K_tot</t>
  </si>
  <si>
    <t>Li_tot</t>
  </si>
  <si>
    <t>Mg_tot</t>
  </si>
  <si>
    <t>Mn_tot</t>
  </si>
  <si>
    <t>Na_tot</t>
  </si>
  <si>
    <t>Ni_tot</t>
  </si>
  <si>
    <t>Pb_tot</t>
  </si>
  <si>
    <t>S_tot</t>
  </si>
  <si>
    <t>Se_tot</t>
  </si>
  <si>
    <t>Si_tot</t>
  </si>
  <si>
    <t>Zn_tot</t>
  </si>
  <si>
    <t>P_sorb</t>
  </si>
  <si>
    <t>PSI</t>
  </si>
  <si>
    <t>LF 1 A 0-0.5</t>
  </si>
  <si>
    <t>LF 1 A</t>
  </si>
  <si>
    <t>1Aa</t>
  </si>
  <si>
    <t>feet</t>
  </si>
  <si>
    <t>LF 1 B 0-0.5</t>
  </si>
  <si>
    <t>LF 1 B</t>
  </si>
  <si>
    <t>1Ba</t>
  </si>
  <si>
    <t>LF 1 C 0-0.5</t>
  </si>
  <si>
    <t>LF 1 C</t>
  </si>
  <si>
    <t>1Ca</t>
  </si>
  <si>
    <t>LF 1 D 0-0.5</t>
  </si>
  <si>
    <t>LF 1 D</t>
  </si>
  <si>
    <t>1Da</t>
  </si>
  <si>
    <t>LF 1 E 0-0.5</t>
  </si>
  <si>
    <t>LF 1 E</t>
  </si>
  <si>
    <t>1Ea</t>
  </si>
  <si>
    <t>LF 2 A 0-0.5</t>
  </si>
  <si>
    <t>LF 2 A</t>
  </si>
  <si>
    <t>2Aa</t>
  </si>
  <si>
    <t>LF 2 B 0-0.5</t>
  </si>
  <si>
    <t>LF 2 B</t>
  </si>
  <si>
    <t>2Ba</t>
  </si>
  <si>
    <t>LF 2 C 0-0.5</t>
  </si>
  <si>
    <t>LF 2 C</t>
  </si>
  <si>
    <t>2Ca</t>
  </si>
  <si>
    <t>LF 2 D 0-0.5</t>
  </si>
  <si>
    <t xml:space="preserve">LF 2 D </t>
  </si>
  <si>
    <t>2Da</t>
  </si>
  <si>
    <t>LF 3 0-10</t>
  </si>
  <si>
    <t xml:space="preserve">LF 3 </t>
  </si>
  <si>
    <t>3a</t>
  </si>
  <si>
    <t>cm</t>
  </si>
  <si>
    <t>LF 4 0-10</t>
  </si>
  <si>
    <t>LF 4</t>
  </si>
  <si>
    <t>4a</t>
  </si>
  <si>
    <t>LF 5 0-10</t>
  </si>
  <si>
    <t>LF 5</t>
  </si>
  <si>
    <t>5a</t>
  </si>
  <si>
    <t>LF 6 0-10</t>
  </si>
  <si>
    <t>LF 6</t>
  </si>
  <si>
    <t>6a</t>
  </si>
  <si>
    <t>LF 7 0-10</t>
  </si>
  <si>
    <t>LF 7</t>
  </si>
  <si>
    <t>7a</t>
  </si>
  <si>
    <t>LF 8 0-10</t>
  </si>
  <si>
    <t>LF 8</t>
  </si>
  <si>
    <t>8a</t>
  </si>
  <si>
    <t>LF 9 0-10</t>
  </si>
  <si>
    <t>LF 9</t>
  </si>
  <si>
    <t>9a</t>
  </si>
  <si>
    <t>LF 10 0-10</t>
  </si>
  <si>
    <t>LF 10</t>
  </si>
  <si>
    <t>10a</t>
  </si>
  <si>
    <t>LF 11 0-10</t>
  </si>
  <si>
    <t>LF 11</t>
  </si>
  <si>
    <t>11a</t>
  </si>
  <si>
    <t>LF 12 0-10</t>
  </si>
  <si>
    <t>LF 12</t>
  </si>
  <si>
    <t>12a</t>
  </si>
  <si>
    <t>LF 13 0-10</t>
  </si>
  <si>
    <t>LF 13</t>
  </si>
  <si>
    <t>13a</t>
  </si>
  <si>
    <t>LF 14 0-10</t>
  </si>
  <si>
    <t>LF 14</t>
  </si>
  <si>
    <t>14a</t>
  </si>
  <si>
    <t>LF 15 0-10</t>
  </si>
  <si>
    <t>LF 15</t>
  </si>
  <si>
    <t>15a</t>
  </si>
  <si>
    <t>LF 16 0-10</t>
  </si>
  <si>
    <t>LF 16</t>
  </si>
  <si>
    <t>16a</t>
  </si>
  <si>
    <t>LF 17 0-10</t>
  </si>
  <si>
    <t>LF 17</t>
  </si>
  <si>
    <t>17a</t>
  </si>
  <si>
    <t>LF 18 0-10</t>
  </si>
  <si>
    <t>LF 18</t>
  </si>
  <si>
    <t>18a</t>
  </si>
  <si>
    <t>LF 19 0-10</t>
  </si>
  <si>
    <t>LF 19</t>
  </si>
  <si>
    <t>19a</t>
  </si>
  <si>
    <t>LF 20 0-10</t>
  </si>
  <si>
    <t>LF 20</t>
  </si>
  <si>
    <t>20a</t>
  </si>
  <si>
    <t>LF 21 0-10</t>
  </si>
  <si>
    <t>LF 21</t>
  </si>
  <si>
    <t>21a</t>
  </si>
  <si>
    <t>LF 22 0-10</t>
  </si>
  <si>
    <t>LF 22</t>
  </si>
  <si>
    <t>22a</t>
  </si>
  <si>
    <t>LF 23 0-10</t>
  </si>
  <si>
    <t>LF 23</t>
  </si>
  <si>
    <t>23a</t>
  </si>
  <si>
    <t>LF 24 0-10</t>
  </si>
  <si>
    <t>LF 24</t>
  </si>
  <si>
    <t>24a</t>
  </si>
  <si>
    <t>LF 25 0-10</t>
  </si>
  <si>
    <t>LF 25</t>
  </si>
  <si>
    <t>25a</t>
  </si>
  <si>
    <t>LF 26 0-10</t>
  </si>
  <si>
    <t>LF 26</t>
  </si>
  <si>
    <t>26a</t>
  </si>
  <si>
    <t>LF 27 0-10</t>
  </si>
  <si>
    <t>LF 27</t>
  </si>
  <si>
    <t>27a</t>
  </si>
  <si>
    <t>LF 28 0-10</t>
  </si>
  <si>
    <t>LF 28</t>
  </si>
  <si>
    <t>28a</t>
  </si>
  <si>
    <t>LF 29 0-10</t>
  </si>
  <si>
    <t>LF 29</t>
  </si>
  <si>
    <t>29a</t>
  </si>
  <si>
    <t>LF 30 0-10</t>
  </si>
  <si>
    <t>LF 30</t>
  </si>
  <si>
    <t>30a</t>
  </si>
  <si>
    <t>LF 31 0-10</t>
  </si>
  <si>
    <t>LF 31</t>
  </si>
  <si>
    <t>31a</t>
  </si>
  <si>
    <t>LF 32 0-10</t>
  </si>
  <si>
    <t>LF 32</t>
  </si>
  <si>
    <t>32a</t>
  </si>
  <si>
    <t>LF 33 0-10</t>
  </si>
  <si>
    <t>LF 33</t>
  </si>
  <si>
    <t>33a</t>
  </si>
  <si>
    <t>LF 34 0-10</t>
  </si>
  <si>
    <t>LF 34</t>
  </si>
  <si>
    <t>34a</t>
  </si>
  <si>
    <t>LF 35 0-10</t>
  </si>
  <si>
    <t>LF 35</t>
  </si>
  <si>
    <t>35a</t>
  </si>
  <si>
    <t>LF 36 0-10</t>
  </si>
  <si>
    <t>LF 36</t>
  </si>
  <si>
    <t>36a</t>
  </si>
  <si>
    <t>LF 37 0-10</t>
  </si>
  <si>
    <t>LF 37</t>
  </si>
  <si>
    <t>37a</t>
  </si>
  <si>
    <t>LF 38 0-10</t>
  </si>
  <si>
    <t>LF 38</t>
  </si>
  <si>
    <t>38a</t>
  </si>
  <si>
    <t>LF 39 0-10</t>
  </si>
  <si>
    <t>LF 39</t>
  </si>
  <si>
    <t>39a</t>
  </si>
  <si>
    <t>LF 40 0-10</t>
  </si>
  <si>
    <t xml:space="preserve">LF 40 </t>
  </si>
  <si>
    <t>40a</t>
  </si>
  <si>
    <t>LF 41 0-10</t>
  </si>
  <si>
    <t>LF 41</t>
  </si>
  <si>
    <t>41a</t>
  </si>
  <si>
    <t>LF 42 0-10</t>
  </si>
  <si>
    <t>LF 42</t>
  </si>
  <si>
    <t>42a</t>
  </si>
  <si>
    <t>LF 43</t>
  </si>
  <si>
    <t>43a</t>
  </si>
  <si>
    <t>LF 44</t>
  </si>
  <si>
    <t>44a</t>
  </si>
  <si>
    <t>LF 45</t>
  </si>
  <si>
    <t>45a</t>
  </si>
  <si>
    <t>LF 46</t>
  </si>
  <si>
    <t>46a</t>
  </si>
  <si>
    <t>43b</t>
  </si>
  <si>
    <t>44b</t>
  </si>
  <si>
    <t>45b</t>
  </si>
  <si>
    <t>46b</t>
  </si>
  <si>
    <t>DEPTH</t>
  </si>
  <si>
    <t>AREA</t>
  </si>
  <si>
    <t>ELEV</t>
  </si>
  <si>
    <t>SAND_P</t>
  </si>
  <si>
    <t>CLAY_P</t>
  </si>
  <si>
    <t>SILT_P</t>
  </si>
  <si>
    <t>pH</t>
  </si>
  <si>
    <t>WEP</t>
  </si>
  <si>
    <t>MM3</t>
  </si>
  <si>
    <t>M3</t>
  </si>
  <si>
    <t>AG</t>
  </si>
  <si>
    <t>AL</t>
  </si>
  <si>
    <t>AS</t>
  </si>
  <si>
    <t>BA</t>
  </si>
  <si>
    <t>CA</t>
  </si>
  <si>
    <t>CD</t>
  </si>
  <si>
    <t>CO</t>
  </si>
  <si>
    <t>CR</t>
  </si>
  <si>
    <t>CU</t>
  </si>
  <si>
    <t>FE</t>
  </si>
  <si>
    <t>K</t>
  </si>
  <si>
    <t>LI</t>
  </si>
  <si>
    <t>MG</t>
  </si>
  <si>
    <t>MN</t>
  </si>
  <si>
    <t>NA</t>
  </si>
  <si>
    <t>NI</t>
  </si>
  <si>
    <t>PB</t>
  </si>
  <si>
    <t>S</t>
  </si>
  <si>
    <t>SE</t>
  </si>
  <si>
    <t>SI</t>
  </si>
  <si>
    <t>ZN</t>
  </si>
  <si>
    <t>LF 43 0-10</t>
  </si>
  <si>
    <t>LF 44 0-10</t>
  </si>
  <si>
    <t>LF 45 0-10</t>
  </si>
  <si>
    <t>LF 46 0-10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</si>
</sst>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4" fillId="0" borderId="0" xfId="0" applyFon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82576-FB1E-4D53-A521-E189B28F11C1}">
  <dimension ref="A1:AS55"/>
  <sheetViews>
    <sheetView topLeftCell="A40" workbookViewId="0">
      <selection activeCell="I58" sqref="I58"/>
    </sheetView>
  </sheetViews>
  <sheetFormatPr defaultRowHeight="13.8" x14ac:dyDescent="0.25"/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A2" t="s">
        <v>45</v>
      </c>
      <c r="B2" t="s">
        <v>46</v>
      </c>
      <c r="C2">
        <v>36.107767000000003</v>
      </c>
      <c r="D2">
        <v>-94.560067000000004</v>
      </c>
      <c r="E2" t="s">
        <v>47</v>
      </c>
      <c r="F2">
        <v>10</v>
      </c>
      <c r="G2" t="s">
        <v>48</v>
      </c>
      <c r="H2">
        <v>1</v>
      </c>
      <c r="I2">
        <v>279.7</v>
      </c>
      <c r="O2">
        <v>38.6</v>
      </c>
      <c r="P2">
        <v>3</v>
      </c>
      <c r="Q2">
        <v>4.9000000000000004</v>
      </c>
      <c r="R2">
        <v>2.2000000000000002</v>
      </c>
      <c r="U2">
        <v>16.3</v>
      </c>
      <c r="V2">
        <v>477.7</v>
      </c>
      <c r="W2">
        <v>0.2</v>
      </c>
      <c r="X2">
        <v>8635.6</v>
      </c>
      <c r="Y2">
        <v>4.7</v>
      </c>
      <c r="Z2">
        <v>117.8</v>
      </c>
      <c r="AA2">
        <v>4022</v>
      </c>
      <c r="AB2">
        <v>2.5</v>
      </c>
      <c r="AC2">
        <v>9.8000000000000007</v>
      </c>
      <c r="AD2">
        <v>18.600000000000001</v>
      </c>
      <c r="AE2">
        <v>11.2</v>
      </c>
      <c r="AF2">
        <v>13279.1</v>
      </c>
      <c r="AG2">
        <v>882.4</v>
      </c>
      <c r="AH2">
        <v>12.3</v>
      </c>
      <c r="AI2">
        <v>727.4</v>
      </c>
      <c r="AJ2">
        <v>1094.5999999999999</v>
      </c>
      <c r="AK2">
        <v>39.4</v>
      </c>
      <c r="AL2">
        <v>18.5</v>
      </c>
      <c r="AM2">
        <v>16.3</v>
      </c>
      <c r="AN2">
        <v>252.4</v>
      </c>
      <c r="AP2">
        <v>19.2</v>
      </c>
      <c r="AQ2">
        <v>71.599999999999994</v>
      </c>
    </row>
    <row r="3" spans="1:45" x14ac:dyDescent="0.25">
      <c r="A3" t="s">
        <v>49</v>
      </c>
      <c r="B3" t="s">
        <v>50</v>
      </c>
      <c r="C3">
        <v>36.107767000000003</v>
      </c>
      <c r="D3">
        <v>-94.560033000000004</v>
      </c>
      <c r="E3" t="s">
        <v>51</v>
      </c>
      <c r="F3">
        <v>10</v>
      </c>
      <c r="G3" t="s">
        <v>48</v>
      </c>
      <c r="H3">
        <v>1</v>
      </c>
      <c r="I3">
        <v>279.8</v>
      </c>
      <c r="O3">
        <v>39.5</v>
      </c>
      <c r="P3">
        <v>2.4</v>
      </c>
      <c r="Q3">
        <v>3.2</v>
      </c>
      <c r="R3">
        <v>2.1</v>
      </c>
      <c r="U3">
        <v>10.4</v>
      </c>
      <c r="V3">
        <v>361.3</v>
      </c>
      <c r="W3">
        <v>0.2</v>
      </c>
      <c r="X3">
        <v>6736.2</v>
      </c>
      <c r="Y3">
        <v>4.7</v>
      </c>
      <c r="Z3">
        <v>113.3</v>
      </c>
      <c r="AA3">
        <v>4604.3</v>
      </c>
      <c r="AB3">
        <v>2.5</v>
      </c>
      <c r="AC3">
        <v>9.1</v>
      </c>
      <c r="AD3">
        <v>16.8</v>
      </c>
      <c r="AE3">
        <v>10.8</v>
      </c>
      <c r="AF3">
        <v>13452.6</v>
      </c>
      <c r="AG3">
        <v>881.1</v>
      </c>
      <c r="AH3">
        <v>10.7</v>
      </c>
      <c r="AI3">
        <v>674.2</v>
      </c>
      <c r="AJ3">
        <v>1003</v>
      </c>
      <c r="AK3">
        <v>33.1</v>
      </c>
      <c r="AL3">
        <v>15.9</v>
      </c>
      <c r="AM3">
        <v>24.6</v>
      </c>
      <c r="AN3">
        <v>253.2</v>
      </c>
      <c r="AP3">
        <v>25.5</v>
      </c>
      <c r="AQ3">
        <v>82.2</v>
      </c>
    </row>
    <row r="4" spans="1:45" x14ac:dyDescent="0.25">
      <c r="A4" t="s">
        <v>52</v>
      </c>
      <c r="B4" t="s">
        <v>53</v>
      </c>
      <c r="C4">
        <v>36.107782999999998</v>
      </c>
      <c r="D4">
        <v>-94.560199999999995</v>
      </c>
      <c r="E4" t="s">
        <v>54</v>
      </c>
      <c r="F4">
        <v>10</v>
      </c>
      <c r="G4" t="s">
        <v>48</v>
      </c>
      <c r="H4">
        <v>1</v>
      </c>
      <c r="I4">
        <v>279.60000000000002</v>
      </c>
      <c r="O4">
        <v>41</v>
      </c>
      <c r="P4">
        <v>2.8</v>
      </c>
      <c r="Q4">
        <v>4.4000000000000004</v>
      </c>
      <c r="R4">
        <v>3</v>
      </c>
      <c r="U4">
        <v>14.3</v>
      </c>
      <c r="V4">
        <v>376.8</v>
      </c>
      <c r="W4">
        <v>0.3</v>
      </c>
      <c r="X4">
        <v>3466.6</v>
      </c>
      <c r="Z4">
        <v>67.3</v>
      </c>
      <c r="AA4">
        <v>1688.7</v>
      </c>
      <c r="AC4">
        <v>5.5</v>
      </c>
      <c r="AD4">
        <v>11.1</v>
      </c>
      <c r="AE4">
        <v>6.3</v>
      </c>
      <c r="AF4">
        <v>9251.9</v>
      </c>
      <c r="AG4">
        <v>555.4</v>
      </c>
      <c r="AH4">
        <v>5.2</v>
      </c>
      <c r="AI4">
        <v>332.5</v>
      </c>
      <c r="AJ4">
        <v>378.5</v>
      </c>
      <c r="AK4">
        <v>19.7</v>
      </c>
      <c r="AL4">
        <v>7.9</v>
      </c>
      <c r="AM4">
        <v>22.8</v>
      </c>
      <c r="AN4">
        <v>97</v>
      </c>
      <c r="AP4">
        <v>30.3</v>
      </c>
      <c r="AQ4">
        <v>33.200000000000003</v>
      </c>
    </row>
    <row r="5" spans="1:45" x14ac:dyDescent="0.25">
      <c r="A5" t="s">
        <v>55</v>
      </c>
      <c r="B5" t="s">
        <v>56</v>
      </c>
      <c r="C5">
        <v>36.107782999999998</v>
      </c>
      <c r="D5">
        <v>-94.56</v>
      </c>
      <c r="E5" t="s">
        <v>57</v>
      </c>
      <c r="F5">
        <v>10</v>
      </c>
      <c r="G5" t="s">
        <v>48</v>
      </c>
      <c r="H5">
        <v>1</v>
      </c>
      <c r="I5">
        <v>279.8</v>
      </c>
      <c r="O5">
        <v>40.5</v>
      </c>
      <c r="P5">
        <v>3.4</v>
      </c>
      <c r="Q5">
        <v>5.0999999999999996</v>
      </c>
      <c r="R5">
        <v>3.6</v>
      </c>
      <c r="U5">
        <v>5.7</v>
      </c>
      <c r="V5">
        <v>278.39999999999998</v>
      </c>
      <c r="W5">
        <v>0.2</v>
      </c>
      <c r="X5">
        <v>7996.4</v>
      </c>
      <c r="Y5">
        <v>4.9000000000000004</v>
      </c>
      <c r="Z5">
        <v>124.1</v>
      </c>
      <c r="AA5">
        <v>4348.2</v>
      </c>
      <c r="AB5">
        <v>2.2000000000000002</v>
      </c>
      <c r="AC5">
        <v>10.199999999999999</v>
      </c>
      <c r="AD5">
        <v>19.2</v>
      </c>
      <c r="AE5">
        <v>11.5</v>
      </c>
      <c r="AF5">
        <v>13200.2</v>
      </c>
      <c r="AG5">
        <v>1048.5999999999999</v>
      </c>
      <c r="AH5">
        <v>13.1</v>
      </c>
      <c r="AI5">
        <v>803.3</v>
      </c>
      <c r="AJ5">
        <v>968.4</v>
      </c>
      <c r="AK5">
        <v>27.3</v>
      </c>
      <c r="AL5">
        <v>19.3</v>
      </c>
      <c r="AM5">
        <v>17.7</v>
      </c>
      <c r="AN5">
        <v>310.3</v>
      </c>
      <c r="AP5">
        <v>36.299999999999997</v>
      </c>
      <c r="AQ5">
        <v>65.099999999999994</v>
      </c>
    </row>
    <row r="6" spans="1:45" x14ac:dyDescent="0.25">
      <c r="A6" t="s">
        <v>58</v>
      </c>
      <c r="B6" t="s">
        <v>59</v>
      </c>
      <c r="C6">
        <v>36.107799999999997</v>
      </c>
      <c r="D6">
        <v>-94.560067000000004</v>
      </c>
      <c r="E6" t="s">
        <v>60</v>
      </c>
      <c r="F6">
        <v>10</v>
      </c>
      <c r="G6" t="s">
        <v>48</v>
      </c>
      <c r="H6">
        <v>1</v>
      </c>
      <c r="I6">
        <v>279.7</v>
      </c>
      <c r="O6">
        <v>41.3</v>
      </c>
      <c r="P6">
        <v>2.6</v>
      </c>
      <c r="Q6">
        <v>4.8</v>
      </c>
      <c r="R6">
        <v>1.6</v>
      </c>
      <c r="U6">
        <v>7.6</v>
      </c>
      <c r="V6">
        <v>525.9</v>
      </c>
      <c r="W6">
        <v>0.2</v>
      </c>
      <c r="X6">
        <v>7152.6</v>
      </c>
      <c r="Y6">
        <v>3.6</v>
      </c>
      <c r="Z6">
        <v>108.6</v>
      </c>
      <c r="AA6">
        <v>3649.2</v>
      </c>
      <c r="AB6">
        <v>2.5</v>
      </c>
      <c r="AC6">
        <v>9</v>
      </c>
      <c r="AD6">
        <v>17.899999999999999</v>
      </c>
      <c r="AE6">
        <v>10.1</v>
      </c>
      <c r="AF6">
        <v>13122.6</v>
      </c>
      <c r="AG6">
        <v>871</v>
      </c>
      <c r="AH6">
        <v>11.6</v>
      </c>
      <c r="AI6">
        <v>676.2</v>
      </c>
      <c r="AJ6">
        <v>910.9</v>
      </c>
      <c r="AK6">
        <v>33.200000000000003</v>
      </c>
      <c r="AL6">
        <v>15.6</v>
      </c>
      <c r="AM6">
        <v>23.2</v>
      </c>
      <c r="AN6">
        <v>196.6</v>
      </c>
      <c r="AP6">
        <v>25.7</v>
      </c>
      <c r="AQ6">
        <v>70.2</v>
      </c>
    </row>
    <row r="7" spans="1:45" x14ac:dyDescent="0.25">
      <c r="A7" t="s">
        <v>61</v>
      </c>
      <c r="B7" t="s">
        <v>62</v>
      </c>
      <c r="C7">
        <v>36.107250000000001</v>
      </c>
      <c r="D7">
        <v>-94.560732999999999</v>
      </c>
      <c r="E7" t="s">
        <v>63</v>
      </c>
      <c r="F7">
        <v>10</v>
      </c>
      <c r="G7" t="s">
        <v>48</v>
      </c>
      <c r="H7">
        <v>1</v>
      </c>
      <c r="I7">
        <v>281.10000000000002</v>
      </c>
      <c r="O7">
        <v>44.7</v>
      </c>
      <c r="P7">
        <v>3.1</v>
      </c>
      <c r="Q7">
        <v>2.7</v>
      </c>
      <c r="R7">
        <v>1.8</v>
      </c>
      <c r="U7">
        <v>6.2</v>
      </c>
      <c r="V7">
        <v>245.1</v>
      </c>
      <c r="W7">
        <v>0.2</v>
      </c>
      <c r="X7">
        <v>10494.2</v>
      </c>
      <c r="Y7">
        <v>5.6</v>
      </c>
      <c r="Z7">
        <v>138.4</v>
      </c>
      <c r="AA7">
        <v>4934.8999999999996</v>
      </c>
      <c r="AB7">
        <v>2.4</v>
      </c>
      <c r="AC7">
        <v>10.5</v>
      </c>
      <c r="AD7">
        <v>23.1</v>
      </c>
      <c r="AE7">
        <v>12.1</v>
      </c>
      <c r="AF7">
        <v>14488.3</v>
      </c>
      <c r="AG7">
        <v>1182.3</v>
      </c>
      <c r="AH7">
        <v>17.5</v>
      </c>
      <c r="AI7">
        <v>991</v>
      </c>
      <c r="AJ7">
        <v>1003.3</v>
      </c>
      <c r="AK7">
        <v>38.1</v>
      </c>
      <c r="AL7">
        <v>21</v>
      </c>
      <c r="AM7">
        <v>19.3</v>
      </c>
      <c r="AN7">
        <v>322.3</v>
      </c>
      <c r="AP7">
        <v>38.299999999999997</v>
      </c>
      <c r="AQ7">
        <v>70.099999999999994</v>
      </c>
    </row>
    <row r="8" spans="1:45" x14ac:dyDescent="0.25">
      <c r="A8" t="s">
        <v>64</v>
      </c>
      <c r="B8" t="s">
        <v>65</v>
      </c>
      <c r="C8">
        <v>36.107166999999997</v>
      </c>
      <c r="D8">
        <v>-94.560699999999997</v>
      </c>
      <c r="E8" t="s">
        <v>66</v>
      </c>
      <c r="F8">
        <v>10</v>
      </c>
      <c r="G8" t="s">
        <v>48</v>
      </c>
      <c r="H8">
        <v>1</v>
      </c>
      <c r="I8">
        <v>281.10000000000002</v>
      </c>
      <c r="O8">
        <v>40.200000000000003</v>
      </c>
      <c r="P8">
        <v>2.4</v>
      </c>
      <c r="Q8">
        <v>3</v>
      </c>
      <c r="R8">
        <v>1.6</v>
      </c>
      <c r="U8">
        <v>6.8</v>
      </c>
      <c r="V8">
        <v>259.39999999999998</v>
      </c>
      <c r="W8">
        <v>0.2</v>
      </c>
      <c r="X8">
        <v>8267.9</v>
      </c>
      <c r="Y8">
        <v>5</v>
      </c>
      <c r="Z8">
        <v>133.9</v>
      </c>
      <c r="AA8">
        <v>4401.3999999999996</v>
      </c>
      <c r="AB8">
        <v>2.4</v>
      </c>
      <c r="AC8">
        <v>10.5</v>
      </c>
      <c r="AD8">
        <v>19.3</v>
      </c>
      <c r="AE8">
        <v>11.2</v>
      </c>
      <c r="AF8">
        <v>13908</v>
      </c>
      <c r="AG8">
        <v>964.4</v>
      </c>
      <c r="AH8">
        <v>13.1</v>
      </c>
      <c r="AI8">
        <v>800.3</v>
      </c>
      <c r="AJ8">
        <v>1012.4</v>
      </c>
      <c r="AK8">
        <v>27.9</v>
      </c>
      <c r="AL8">
        <v>19.7</v>
      </c>
      <c r="AM8">
        <v>18.7</v>
      </c>
      <c r="AN8">
        <v>291.89999999999998</v>
      </c>
      <c r="AP8">
        <v>31.4</v>
      </c>
      <c r="AQ8">
        <v>65.099999999999994</v>
      </c>
    </row>
    <row r="9" spans="1:45" x14ac:dyDescent="0.25">
      <c r="A9" t="s">
        <v>67</v>
      </c>
      <c r="B9" t="s">
        <v>68</v>
      </c>
      <c r="C9">
        <v>36.106932999999998</v>
      </c>
      <c r="D9">
        <v>-94.560550000000006</v>
      </c>
      <c r="E9" t="s">
        <v>69</v>
      </c>
      <c r="F9">
        <v>10</v>
      </c>
      <c r="G9" t="s">
        <v>48</v>
      </c>
      <c r="H9">
        <v>1</v>
      </c>
      <c r="I9">
        <v>281.10000000000002</v>
      </c>
      <c r="O9">
        <v>43.1</v>
      </c>
      <c r="P9">
        <v>2.2999999999999998</v>
      </c>
      <c r="Q9">
        <v>3.7</v>
      </c>
      <c r="R9">
        <v>1.5</v>
      </c>
      <c r="U9">
        <v>6.1</v>
      </c>
      <c r="V9">
        <v>274.3</v>
      </c>
      <c r="W9">
        <v>0.2</v>
      </c>
      <c r="X9">
        <v>7360.8</v>
      </c>
      <c r="Y9">
        <v>5.6</v>
      </c>
      <c r="Z9">
        <v>110.1</v>
      </c>
      <c r="AA9">
        <v>3020.5</v>
      </c>
      <c r="AB9">
        <v>2.5</v>
      </c>
      <c r="AC9">
        <v>8.8000000000000007</v>
      </c>
      <c r="AD9">
        <v>16.7</v>
      </c>
      <c r="AE9">
        <v>9.9</v>
      </c>
      <c r="AF9">
        <v>13392</v>
      </c>
      <c r="AG9">
        <v>822.1</v>
      </c>
      <c r="AH9">
        <v>11.3</v>
      </c>
      <c r="AI9">
        <v>603.6</v>
      </c>
      <c r="AJ9">
        <v>806.7</v>
      </c>
      <c r="AK9">
        <v>28.1</v>
      </c>
      <c r="AL9">
        <v>14.3</v>
      </c>
      <c r="AM9">
        <v>24</v>
      </c>
      <c r="AN9">
        <v>191.7</v>
      </c>
      <c r="AP9">
        <v>29.6</v>
      </c>
      <c r="AQ9">
        <v>53.2</v>
      </c>
    </row>
    <row r="10" spans="1:45" x14ac:dyDescent="0.25">
      <c r="A10" t="s">
        <v>70</v>
      </c>
      <c r="B10" t="s">
        <v>71</v>
      </c>
      <c r="C10">
        <v>36.106833000000002</v>
      </c>
      <c r="D10">
        <v>-94.560383000000002</v>
      </c>
      <c r="E10" t="s">
        <v>72</v>
      </c>
      <c r="F10">
        <v>10</v>
      </c>
      <c r="G10" t="s">
        <v>48</v>
      </c>
      <c r="H10">
        <v>1</v>
      </c>
      <c r="I10">
        <v>281.10000000000002</v>
      </c>
      <c r="O10">
        <v>38.799999999999997</v>
      </c>
      <c r="P10">
        <v>2.6</v>
      </c>
      <c r="Q10">
        <v>2.2999999999999998</v>
      </c>
      <c r="R10">
        <v>2.9</v>
      </c>
      <c r="U10">
        <v>13.7</v>
      </c>
      <c r="V10">
        <v>362.3</v>
      </c>
      <c r="W10">
        <v>0.2</v>
      </c>
      <c r="X10">
        <v>9672.7000000000007</v>
      </c>
      <c r="Y10">
        <v>5</v>
      </c>
      <c r="Z10">
        <v>128</v>
      </c>
      <c r="AA10">
        <v>4212.8</v>
      </c>
      <c r="AB10">
        <v>2.7</v>
      </c>
      <c r="AC10">
        <v>10</v>
      </c>
      <c r="AD10">
        <v>20.5</v>
      </c>
      <c r="AE10">
        <v>12</v>
      </c>
      <c r="AF10">
        <v>14030.2</v>
      </c>
      <c r="AG10">
        <v>1175.5999999999999</v>
      </c>
      <c r="AH10">
        <v>17.5</v>
      </c>
      <c r="AI10">
        <v>780.1</v>
      </c>
      <c r="AJ10">
        <v>1070.9000000000001</v>
      </c>
      <c r="AK10">
        <v>41.9</v>
      </c>
      <c r="AL10">
        <v>19.3</v>
      </c>
      <c r="AM10">
        <v>16.100000000000001</v>
      </c>
      <c r="AN10">
        <v>257.89999999999998</v>
      </c>
      <c r="AP10">
        <v>31.6</v>
      </c>
      <c r="AQ10">
        <v>68.400000000000006</v>
      </c>
    </row>
    <row r="11" spans="1:45" x14ac:dyDescent="0.25">
      <c r="A11" t="s">
        <v>73</v>
      </c>
      <c r="B11" t="s">
        <v>74</v>
      </c>
      <c r="C11">
        <v>36.104810000000001</v>
      </c>
      <c r="D11">
        <v>-94.558210000000003</v>
      </c>
      <c r="E11" t="s">
        <v>75</v>
      </c>
      <c r="F11">
        <v>10</v>
      </c>
      <c r="G11" t="s">
        <v>76</v>
      </c>
      <c r="H11">
        <v>1</v>
      </c>
      <c r="I11">
        <v>280.10000000000002</v>
      </c>
      <c r="K11">
        <v>27.4</v>
      </c>
      <c r="L11">
        <v>13.9</v>
      </c>
      <c r="M11">
        <v>58.7</v>
      </c>
      <c r="N11">
        <v>6.67</v>
      </c>
      <c r="O11">
        <v>34.6</v>
      </c>
      <c r="P11">
        <v>3.7</v>
      </c>
      <c r="Q11">
        <v>2.7</v>
      </c>
      <c r="R11">
        <v>1.9</v>
      </c>
      <c r="S11">
        <v>40.9</v>
      </c>
      <c r="T11">
        <v>4.8</v>
      </c>
      <c r="U11">
        <v>7.2</v>
      </c>
      <c r="V11">
        <v>268.2</v>
      </c>
      <c r="W11">
        <v>0.2</v>
      </c>
      <c r="X11">
        <v>7875.7</v>
      </c>
      <c r="Y11">
        <v>5.6</v>
      </c>
      <c r="Z11">
        <v>128.19999999999999</v>
      </c>
      <c r="AA11">
        <v>4878.1000000000004</v>
      </c>
      <c r="AB11">
        <v>2.5</v>
      </c>
      <c r="AC11">
        <v>9.6</v>
      </c>
      <c r="AD11">
        <v>17.3</v>
      </c>
      <c r="AE11">
        <v>12.4</v>
      </c>
      <c r="AF11">
        <v>13114.6</v>
      </c>
      <c r="AG11">
        <v>924</v>
      </c>
      <c r="AH11">
        <v>13.4</v>
      </c>
      <c r="AI11">
        <v>663.8</v>
      </c>
      <c r="AJ11">
        <v>974.5</v>
      </c>
      <c r="AK11">
        <v>35</v>
      </c>
      <c r="AL11">
        <v>18.2</v>
      </c>
      <c r="AM11">
        <v>16.100000000000001</v>
      </c>
      <c r="AN11">
        <v>318.60000000000002</v>
      </c>
      <c r="AP11">
        <v>28.7</v>
      </c>
      <c r="AQ11">
        <v>60.5</v>
      </c>
      <c r="AR11">
        <v>380</v>
      </c>
      <c r="AS11">
        <v>217.4</v>
      </c>
    </row>
    <row r="12" spans="1:45" x14ac:dyDescent="0.25">
      <c r="A12" t="s">
        <v>77</v>
      </c>
      <c r="B12" t="s">
        <v>78</v>
      </c>
      <c r="C12">
        <v>36.105130000000003</v>
      </c>
      <c r="D12">
        <v>-94.558199999999999</v>
      </c>
      <c r="E12" t="s">
        <v>79</v>
      </c>
      <c r="F12">
        <v>10</v>
      </c>
      <c r="G12" t="s">
        <v>76</v>
      </c>
      <c r="H12">
        <v>1</v>
      </c>
      <c r="I12">
        <v>280.39999999999998</v>
      </c>
      <c r="K12">
        <v>10</v>
      </c>
      <c r="L12">
        <v>12.7</v>
      </c>
      <c r="M12">
        <v>77.3</v>
      </c>
      <c r="O12">
        <v>39.5</v>
      </c>
      <c r="P12">
        <v>3</v>
      </c>
      <c r="Q12">
        <v>4.5999999999999996</v>
      </c>
      <c r="R12">
        <v>1.3</v>
      </c>
      <c r="T12">
        <v>7.7</v>
      </c>
      <c r="U12">
        <v>12.7</v>
      </c>
      <c r="V12">
        <v>337.2</v>
      </c>
      <c r="W12">
        <v>0.2</v>
      </c>
      <c r="X12">
        <v>7497.3</v>
      </c>
      <c r="Y12">
        <v>4.4000000000000004</v>
      </c>
      <c r="Z12">
        <v>114.2</v>
      </c>
      <c r="AA12">
        <v>4124.8999999999996</v>
      </c>
      <c r="AB12">
        <v>2.2999999999999998</v>
      </c>
      <c r="AC12">
        <v>9.3000000000000007</v>
      </c>
      <c r="AD12">
        <v>15.1</v>
      </c>
      <c r="AE12">
        <v>11.7</v>
      </c>
      <c r="AF12">
        <v>13013.8</v>
      </c>
      <c r="AG12">
        <v>896.4</v>
      </c>
      <c r="AH12">
        <v>10.5</v>
      </c>
      <c r="AI12">
        <v>597</v>
      </c>
      <c r="AJ12">
        <v>923.6</v>
      </c>
      <c r="AK12">
        <v>25.3</v>
      </c>
      <c r="AL12">
        <v>16.600000000000001</v>
      </c>
      <c r="AM12">
        <v>15</v>
      </c>
      <c r="AN12">
        <v>260.89999999999998</v>
      </c>
      <c r="AP12">
        <v>31.1</v>
      </c>
      <c r="AQ12">
        <v>53.9</v>
      </c>
      <c r="AR12">
        <v>374.8</v>
      </c>
      <c r="AS12">
        <v>214.1</v>
      </c>
    </row>
    <row r="13" spans="1:45" x14ac:dyDescent="0.25">
      <c r="A13" t="s">
        <v>80</v>
      </c>
      <c r="B13" t="s">
        <v>81</v>
      </c>
      <c r="C13">
        <v>36.104883000000001</v>
      </c>
      <c r="D13">
        <v>-94.557582999999994</v>
      </c>
      <c r="E13" t="s">
        <v>82</v>
      </c>
      <c r="F13">
        <v>10</v>
      </c>
      <c r="G13" t="s">
        <v>76</v>
      </c>
      <c r="H13">
        <v>1</v>
      </c>
      <c r="I13">
        <v>280.89999999999998</v>
      </c>
      <c r="K13">
        <v>18.600000000000001</v>
      </c>
      <c r="L13">
        <v>12.7</v>
      </c>
      <c r="M13">
        <v>68.7</v>
      </c>
      <c r="N13">
        <v>6.85</v>
      </c>
      <c r="O13">
        <v>31.2</v>
      </c>
      <c r="P13">
        <v>3.6</v>
      </c>
      <c r="Q13">
        <v>3.3</v>
      </c>
      <c r="R13">
        <v>1.3</v>
      </c>
      <c r="S13">
        <v>34.299999999999997</v>
      </c>
      <c r="T13">
        <v>4.5999999999999996</v>
      </c>
      <c r="U13">
        <v>9.6</v>
      </c>
      <c r="V13">
        <v>266.3</v>
      </c>
      <c r="W13">
        <v>0.2</v>
      </c>
      <c r="X13">
        <v>6200.9</v>
      </c>
      <c r="Y13">
        <v>4.7</v>
      </c>
      <c r="Z13">
        <v>115.3</v>
      </c>
      <c r="AA13">
        <v>4787</v>
      </c>
      <c r="AB13">
        <v>2.4</v>
      </c>
      <c r="AC13">
        <v>9</v>
      </c>
      <c r="AD13">
        <v>15</v>
      </c>
      <c r="AE13">
        <v>11</v>
      </c>
      <c r="AF13">
        <v>13453.6</v>
      </c>
      <c r="AG13">
        <v>857.9</v>
      </c>
      <c r="AH13">
        <v>10.1</v>
      </c>
      <c r="AI13">
        <v>587.1</v>
      </c>
      <c r="AJ13">
        <v>946.2</v>
      </c>
      <c r="AK13">
        <v>25.1</v>
      </c>
      <c r="AL13">
        <v>15</v>
      </c>
      <c r="AM13">
        <v>24.3</v>
      </c>
      <c r="AN13">
        <v>323.5</v>
      </c>
      <c r="AP13">
        <v>33.4</v>
      </c>
      <c r="AQ13">
        <v>54.9</v>
      </c>
      <c r="AR13">
        <v>349.6</v>
      </c>
      <c r="AS13">
        <v>198.7</v>
      </c>
    </row>
    <row r="14" spans="1:45" x14ac:dyDescent="0.25">
      <c r="A14" t="s">
        <v>83</v>
      </c>
      <c r="B14" t="s">
        <v>84</v>
      </c>
      <c r="C14">
        <v>36.105983000000002</v>
      </c>
      <c r="D14">
        <v>-94.558717000000001</v>
      </c>
      <c r="E14" t="s">
        <v>85</v>
      </c>
      <c r="F14">
        <v>10</v>
      </c>
      <c r="G14" t="s">
        <v>76</v>
      </c>
      <c r="H14">
        <v>1</v>
      </c>
      <c r="I14">
        <v>279.8</v>
      </c>
      <c r="K14">
        <v>11.2</v>
      </c>
      <c r="L14">
        <v>12.7</v>
      </c>
      <c r="M14">
        <v>76.2</v>
      </c>
      <c r="O14">
        <v>33.4</v>
      </c>
      <c r="P14">
        <v>2.9</v>
      </c>
      <c r="Q14">
        <v>2.2000000000000002</v>
      </c>
      <c r="R14">
        <v>1.9</v>
      </c>
      <c r="U14">
        <v>11.7</v>
      </c>
      <c r="V14">
        <v>298.89999999999998</v>
      </c>
      <c r="X14">
        <v>4571.6000000000004</v>
      </c>
      <c r="Z14">
        <v>103.8</v>
      </c>
      <c r="AA14">
        <v>4334.8</v>
      </c>
      <c r="AC14">
        <v>8</v>
      </c>
      <c r="AD14">
        <v>12.6</v>
      </c>
      <c r="AE14">
        <v>9.3000000000000007</v>
      </c>
      <c r="AF14">
        <v>13138.8</v>
      </c>
      <c r="AG14">
        <v>820.1</v>
      </c>
      <c r="AH14">
        <v>6.5</v>
      </c>
      <c r="AI14">
        <v>498.7</v>
      </c>
      <c r="AJ14">
        <v>887.3</v>
      </c>
      <c r="AK14">
        <v>20.399999999999999</v>
      </c>
      <c r="AL14">
        <v>11.9</v>
      </c>
      <c r="AM14">
        <v>30.6</v>
      </c>
      <c r="AN14">
        <v>370.8</v>
      </c>
      <c r="AP14">
        <v>22.8</v>
      </c>
      <c r="AQ14">
        <v>46.9</v>
      </c>
      <c r="AR14">
        <v>316.89999999999998</v>
      </c>
      <c r="AS14">
        <v>178.9</v>
      </c>
    </row>
    <row r="15" spans="1:45" x14ac:dyDescent="0.25">
      <c r="A15" t="s">
        <v>86</v>
      </c>
      <c r="B15" t="s">
        <v>87</v>
      </c>
      <c r="C15">
        <v>36.106133</v>
      </c>
      <c r="D15">
        <v>-94.558350000000004</v>
      </c>
      <c r="E15" t="s">
        <v>88</v>
      </c>
      <c r="F15">
        <v>10</v>
      </c>
      <c r="G15" t="s">
        <v>76</v>
      </c>
      <c r="H15">
        <v>1</v>
      </c>
      <c r="I15">
        <v>280</v>
      </c>
      <c r="K15">
        <v>33.799999999999997</v>
      </c>
      <c r="L15">
        <v>11.2</v>
      </c>
      <c r="M15">
        <v>55</v>
      </c>
      <c r="O15">
        <v>30.3</v>
      </c>
      <c r="P15">
        <v>2.9</v>
      </c>
      <c r="Q15">
        <v>4.5999999999999996</v>
      </c>
      <c r="R15">
        <v>1.9</v>
      </c>
      <c r="T15">
        <v>5.5</v>
      </c>
      <c r="U15">
        <v>8.1999999999999993</v>
      </c>
      <c r="V15">
        <v>356.6</v>
      </c>
      <c r="W15">
        <v>0.2</v>
      </c>
      <c r="X15">
        <v>9216.5</v>
      </c>
      <c r="Y15">
        <v>5.0999999999999996</v>
      </c>
      <c r="Z15">
        <v>125</v>
      </c>
      <c r="AA15">
        <v>4238.3999999999996</v>
      </c>
      <c r="AB15">
        <v>2.6</v>
      </c>
      <c r="AC15">
        <v>9.9</v>
      </c>
      <c r="AD15">
        <v>17.2</v>
      </c>
      <c r="AE15">
        <v>11.7</v>
      </c>
      <c r="AF15">
        <v>14264.7</v>
      </c>
      <c r="AG15">
        <v>937.5</v>
      </c>
      <c r="AH15">
        <v>13.5</v>
      </c>
      <c r="AI15">
        <v>675.5</v>
      </c>
      <c r="AJ15">
        <v>991.5</v>
      </c>
      <c r="AK15">
        <v>31.2</v>
      </c>
      <c r="AL15">
        <v>17.8</v>
      </c>
      <c r="AM15">
        <v>15.5</v>
      </c>
      <c r="AN15">
        <v>290.8</v>
      </c>
      <c r="AP15">
        <v>32.6</v>
      </c>
      <c r="AQ15">
        <v>59</v>
      </c>
      <c r="AR15">
        <v>291.8</v>
      </c>
      <c r="AS15">
        <v>163.80000000000001</v>
      </c>
    </row>
    <row r="16" spans="1:45" x14ac:dyDescent="0.25">
      <c r="A16" t="s">
        <v>89</v>
      </c>
      <c r="B16" t="s">
        <v>90</v>
      </c>
      <c r="C16">
        <v>36.105849999999997</v>
      </c>
      <c r="D16">
        <v>-94.559133000000003</v>
      </c>
      <c r="E16" t="s">
        <v>91</v>
      </c>
      <c r="F16">
        <v>10</v>
      </c>
      <c r="G16" t="s">
        <v>76</v>
      </c>
      <c r="H16">
        <v>1</v>
      </c>
      <c r="I16">
        <v>280.3</v>
      </c>
      <c r="K16">
        <v>12.3</v>
      </c>
      <c r="L16">
        <v>12.7</v>
      </c>
      <c r="M16">
        <v>75</v>
      </c>
      <c r="N16">
        <v>6.61</v>
      </c>
      <c r="O16">
        <v>38.4</v>
      </c>
      <c r="P16">
        <v>3.3</v>
      </c>
      <c r="Q16">
        <v>3.5</v>
      </c>
      <c r="R16">
        <v>2.4</v>
      </c>
      <c r="S16">
        <v>48.6</v>
      </c>
      <c r="T16">
        <v>8.4</v>
      </c>
      <c r="U16">
        <v>16.3</v>
      </c>
      <c r="V16">
        <v>369.4</v>
      </c>
      <c r="W16">
        <v>0.2</v>
      </c>
      <c r="X16">
        <v>7124</v>
      </c>
      <c r="Y16">
        <v>5</v>
      </c>
      <c r="Z16">
        <v>121.3</v>
      </c>
      <c r="AA16">
        <v>3865.3</v>
      </c>
      <c r="AB16">
        <v>2.6</v>
      </c>
      <c r="AC16">
        <v>9.6</v>
      </c>
      <c r="AD16">
        <v>16.8</v>
      </c>
      <c r="AE16">
        <v>11.2</v>
      </c>
      <c r="AF16">
        <v>14541.7</v>
      </c>
      <c r="AG16">
        <v>1032.7</v>
      </c>
      <c r="AH16">
        <v>11.9</v>
      </c>
      <c r="AI16">
        <v>651.29999999999995</v>
      </c>
      <c r="AJ16">
        <v>984.4</v>
      </c>
      <c r="AK16">
        <v>28.6</v>
      </c>
      <c r="AL16">
        <v>16.600000000000001</v>
      </c>
      <c r="AM16">
        <v>25.2</v>
      </c>
      <c r="AN16">
        <v>280.10000000000002</v>
      </c>
      <c r="AP16">
        <v>28.8</v>
      </c>
      <c r="AQ16">
        <v>59.8</v>
      </c>
      <c r="AR16">
        <v>349.4</v>
      </c>
      <c r="AS16">
        <v>198.5</v>
      </c>
    </row>
    <row r="17" spans="1:45" x14ac:dyDescent="0.25">
      <c r="A17" t="s">
        <v>92</v>
      </c>
      <c r="B17" t="s">
        <v>93</v>
      </c>
      <c r="C17">
        <v>36.106433000000003</v>
      </c>
      <c r="D17">
        <v>-94.559782999999996</v>
      </c>
      <c r="E17" t="s">
        <v>94</v>
      </c>
      <c r="F17">
        <v>10</v>
      </c>
      <c r="G17" t="s">
        <v>76</v>
      </c>
      <c r="H17">
        <v>1</v>
      </c>
      <c r="I17">
        <v>280.10000000000002</v>
      </c>
      <c r="K17">
        <v>11.1</v>
      </c>
      <c r="L17">
        <v>16.100000000000001</v>
      </c>
      <c r="M17">
        <v>72.8</v>
      </c>
      <c r="O17">
        <v>39.9</v>
      </c>
      <c r="P17">
        <v>3</v>
      </c>
      <c r="Q17">
        <v>4</v>
      </c>
      <c r="R17">
        <v>2.2999999999999998</v>
      </c>
      <c r="T17">
        <v>13</v>
      </c>
      <c r="U17">
        <v>13.5</v>
      </c>
      <c r="V17">
        <v>384</v>
      </c>
      <c r="W17">
        <v>0.2</v>
      </c>
      <c r="X17">
        <v>9413.9</v>
      </c>
      <c r="Y17">
        <v>5.3</v>
      </c>
      <c r="Z17">
        <v>123.6</v>
      </c>
      <c r="AA17">
        <v>4411.3</v>
      </c>
      <c r="AB17">
        <v>2.6</v>
      </c>
      <c r="AC17">
        <v>9.6999999999999993</v>
      </c>
      <c r="AD17">
        <v>20.2</v>
      </c>
      <c r="AE17">
        <v>12</v>
      </c>
      <c r="AF17">
        <v>13511.9</v>
      </c>
      <c r="AG17">
        <v>1321.7</v>
      </c>
      <c r="AH17">
        <v>17.2</v>
      </c>
      <c r="AI17">
        <v>800.9</v>
      </c>
      <c r="AJ17">
        <v>914.2</v>
      </c>
      <c r="AK17">
        <v>36.6</v>
      </c>
      <c r="AL17">
        <v>18.899999999999999</v>
      </c>
      <c r="AM17">
        <v>75</v>
      </c>
      <c r="AN17">
        <v>303.60000000000002</v>
      </c>
      <c r="AP17">
        <v>28.6</v>
      </c>
      <c r="AQ17">
        <v>64.599999999999994</v>
      </c>
      <c r="AR17">
        <v>351.6</v>
      </c>
      <c r="AS17">
        <v>199.9</v>
      </c>
    </row>
    <row r="18" spans="1:45" x14ac:dyDescent="0.25">
      <c r="A18" t="s">
        <v>95</v>
      </c>
      <c r="B18" t="s">
        <v>96</v>
      </c>
      <c r="C18">
        <v>36.107016999999999</v>
      </c>
      <c r="D18">
        <v>-94.559416999999996</v>
      </c>
      <c r="E18" t="s">
        <v>97</v>
      </c>
      <c r="F18">
        <v>10</v>
      </c>
      <c r="G18" t="s">
        <v>76</v>
      </c>
      <c r="H18">
        <v>1</v>
      </c>
      <c r="I18">
        <v>279.60000000000002</v>
      </c>
      <c r="K18">
        <v>19.8</v>
      </c>
      <c r="L18">
        <v>16.100000000000001</v>
      </c>
      <c r="M18">
        <v>64.099999999999994</v>
      </c>
      <c r="O18">
        <v>32.799999999999997</v>
      </c>
      <c r="P18">
        <v>3</v>
      </c>
      <c r="Q18">
        <v>2.6</v>
      </c>
      <c r="R18">
        <v>2.2000000000000002</v>
      </c>
      <c r="S18">
        <v>43.3</v>
      </c>
      <c r="T18">
        <v>8.1999999999999993</v>
      </c>
      <c r="U18">
        <v>9.4</v>
      </c>
      <c r="V18">
        <v>212.2</v>
      </c>
      <c r="W18">
        <v>0.3</v>
      </c>
      <c r="X18">
        <v>8238.5</v>
      </c>
      <c r="Y18">
        <v>4.8</v>
      </c>
      <c r="Z18">
        <v>132.80000000000001</v>
      </c>
      <c r="AA18">
        <v>4976.8</v>
      </c>
      <c r="AB18">
        <v>2.7</v>
      </c>
      <c r="AC18">
        <v>9.6999999999999993</v>
      </c>
      <c r="AD18">
        <v>17.5</v>
      </c>
      <c r="AE18">
        <v>11.1</v>
      </c>
      <c r="AF18">
        <v>13545.8</v>
      </c>
      <c r="AG18">
        <v>997</v>
      </c>
      <c r="AH18">
        <v>14.6</v>
      </c>
      <c r="AI18">
        <v>690.5</v>
      </c>
      <c r="AJ18">
        <v>1231</v>
      </c>
      <c r="AK18">
        <v>37.299999999999997</v>
      </c>
      <c r="AL18">
        <v>18.100000000000001</v>
      </c>
      <c r="AM18">
        <v>15.5</v>
      </c>
      <c r="AN18">
        <v>283.10000000000002</v>
      </c>
      <c r="AP18">
        <v>27.8</v>
      </c>
      <c r="AQ18">
        <v>64</v>
      </c>
      <c r="AR18">
        <v>336</v>
      </c>
      <c r="AS18">
        <v>190.4</v>
      </c>
    </row>
    <row r="19" spans="1:45" x14ac:dyDescent="0.25">
      <c r="A19" t="s">
        <v>98</v>
      </c>
      <c r="B19" t="s">
        <v>99</v>
      </c>
      <c r="C19">
        <v>36.117519999999999</v>
      </c>
      <c r="D19">
        <v>-94.560059999999993</v>
      </c>
      <c r="E19" t="s">
        <v>100</v>
      </c>
      <c r="F19">
        <v>10</v>
      </c>
      <c r="G19" t="s">
        <v>76</v>
      </c>
      <c r="H19">
        <v>3</v>
      </c>
      <c r="I19">
        <v>278.8</v>
      </c>
      <c r="K19">
        <v>12.3</v>
      </c>
      <c r="L19">
        <v>16.100000000000001</v>
      </c>
      <c r="M19">
        <v>71.599999999999994</v>
      </c>
      <c r="O19">
        <v>33.200000000000003</v>
      </c>
      <c r="P19">
        <v>2.7</v>
      </c>
      <c r="Q19">
        <v>2.1</v>
      </c>
      <c r="R19">
        <v>2</v>
      </c>
      <c r="U19">
        <v>13.1</v>
      </c>
      <c r="V19">
        <v>138.5</v>
      </c>
      <c r="X19">
        <v>4051.6</v>
      </c>
      <c r="Z19">
        <v>86.8</v>
      </c>
      <c r="AA19">
        <v>3590.2</v>
      </c>
      <c r="AC19">
        <v>6.8</v>
      </c>
      <c r="AD19">
        <v>11</v>
      </c>
      <c r="AE19">
        <v>7.6</v>
      </c>
      <c r="AF19">
        <v>11049.3</v>
      </c>
      <c r="AG19">
        <v>708.2</v>
      </c>
      <c r="AH19">
        <v>5.9</v>
      </c>
      <c r="AI19">
        <v>429.2</v>
      </c>
      <c r="AJ19">
        <v>761.4</v>
      </c>
      <c r="AK19">
        <v>20</v>
      </c>
      <c r="AL19">
        <v>9.6</v>
      </c>
      <c r="AM19">
        <v>26.5</v>
      </c>
      <c r="AN19">
        <v>261.5</v>
      </c>
      <c r="AP19">
        <v>24.1</v>
      </c>
      <c r="AQ19">
        <v>38.299999999999997</v>
      </c>
      <c r="AR19">
        <v>305.8</v>
      </c>
      <c r="AS19">
        <v>172.2</v>
      </c>
    </row>
    <row r="20" spans="1:45" x14ac:dyDescent="0.25">
      <c r="A20" t="s">
        <v>101</v>
      </c>
      <c r="B20" t="s">
        <v>102</v>
      </c>
      <c r="C20">
        <v>36.117620000000002</v>
      </c>
      <c r="D20">
        <v>-94.560760000000002</v>
      </c>
      <c r="E20" t="s">
        <v>103</v>
      </c>
      <c r="F20">
        <v>10</v>
      </c>
      <c r="G20" t="s">
        <v>76</v>
      </c>
      <c r="H20">
        <v>3</v>
      </c>
      <c r="I20">
        <v>278.39999999999998</v>
      </c>
      <c r="K20">
        <v>10.199999999999999</v>
      </c>
      <c r="L20">
        <v>18.600000000000001</v>
      </c>
      <c r="M20">
        <v>71.2</v>
      </c>
      <c r="O20">
        <v>37</v>
      </c>
      <c r="P20">
        <v>3.4</v>
      </c>
      <c r="Q20">
        <v>4.5999999999999996</v>
      </c>
      <c r="R20">
        <v>3</v>
      </c>
      <c r="S20">
        <v>41.7</v>
      </c>
      <c r="T20">
        <v>10.6</v>
      </c>
      <c r="U20">
        <v>19.8</v>
      </c>
      <c r="V20">
        <v>238.9</v>
      </c>
      <c r="W20">
        <v>0.2</v>
      </c>
      <c r="X20">
        <v>8454.7999999999993</v>
      </c>
      <c r="Y20">
        <v>5.0999999999999996</v>
      </c>
      <c r="Z20">
        <v>127.2</v>
      </c>
      <c r="AA20">
        <v>4260.8999999999996</v>
      </c>
      <c r="AB20">
        <v>2.4</v>
      </c>
      <c r="AC20">
        <v>9.4</v>
      </c>
      <c r="AD20">
        <v>18</v>
      </c>
      <c r="AE20">
        <v>11.8</v>
      </c>
      <c r="AF20">
        <v>13343.3</v>
      </c>
      <c r="AG20">
        <v>1013.1</v>
      </c>
      <c r="AH20">
        <v>14.9</v>
      </c>
      <c r="AI20">
        <v>713.4</v>
      </c>
      <c r="AJ20">
        <v>877.5</v>
      </c>
      <c r="AK20">
        <v>34.9</v>
      </c>
      <c r="AL20">
        <v>17.8</v>
      </c>
      <c r="AM20">
        <v>16.100000000000001</v>
      </c>
      <c r="AN20">
        <v>266.10000000000002</v>
      </c>
      <c r="AP20">
        <v>29.2</v>
      </c>
      <c r="AQ20">
        <v>53.4</v>
      </c>
      <c r="AR20">
        <v>325.60000000000002</v>
      </c>
      <c r="AS20">
        <v>184.1</v>
      </c>
    </row>
    <row r="21" spans="1:45" x14ac:dyDescent="0.25">
      <c r="A21" t="s">
        <v>104</v>
      </c>
      <c r="B21" t="s">
        <v>105</v>
      </c>
      <c r="C21">
        <v>36.116579999999999</v>
      </c>
      <c r="D21">
        <v>-94.560860000000005</v>
      </c>
      <c r="E21" t="s">
        <v>106</v>
      </c>
      <c r="F21">
        <v>10</v>
      </c>
      <c r="G21" t="s">
        <v>76</v>
      </c>
      <c r="H21">
        <v>3</v>
      </c>
      <c r="I21">
        <v>279.10000000000002</v>
      </c>
      <c r="O21">
        <v>33</v>
      </c>
      <c r="P21">
        <v>2.9</v>
      </c>
      <c r="Q21">
        <v>3.5</v>
      </c>
      <c r="R21">
        <v>2.5</v>
      </c>
      <c r="T21">
        <v>12.6</v>
      </c>
      <c r="U21">
        <v>11.6</v>
      </c>
      <c r="V21">
        <v>208.4</v>
      </c>
      <c r="W21">
        <v>0.2</v>
      </c>
      <c r="X21">
        <v>8373.6</v>
      </c>
      <c r="Y21">
        <v>4.8</v>
      </c>
      <c r="Z21">
        <v>112.8</v>
      </c>
      <c r="AA21">
        <v>3860.5</v>
      </c>
      <c r="AB21">
        <v>2.2999999999999998</v>
      </c>
      <c r="AC21">
        <v>8.8000000000000007</v>
      </c>
      <c r="AD21">
        <v>15.7</v>
      </c>
      <c r="AE21">
        <v>10.1</v>
      </c>
      <c r="AF21">
        <v>12956.1</v>
      </c>
      <c r="AG21">
        <v>972</v>
      </c>
      <c r="AH21">
        <v>11.9</v>
      </c>
      <c r="AI21">
        <v>611.6</v>
      </c>
      <c r="AJ21">
        <v>860.1</v>
      </c>
      <c r="AK21">
        <v>26.6</v>
      </c>
      <c r="AL21">
        <v>15.8</v>
      </c>
      <c r="AM21">
        <v>14.6</v>
      </c>
      <c r="AN21">
        <v>253.5</v>
      </c>
      <c r="AP21">
        <v>31</v>
      </c>
      <c r="AQ21">
        <v>50.5</v>
      </c>
      <c r="AR21">
        <v>221</v>
      </c>
      <c r="AS21">
        <v>122.4</v>
      </c>
    </row>
    <row r="22" spans="1:45" x14ac:dyDescent="0.25">
      <c r="A22" t="s">
        <v>107</v>
      </c>
      <c r="B22" t="s">
        <v>108</v>
      </c>
      <c r="C22">
        <v>36.11683</v>
      </c>
      <c r="D22">
        <v>-94.561310000000006</v>
      </c>
      <c r="E22" t="s">
        <v>109</v>
      </c>
      <c r="F22">
        <v>10</v>
      </c>
      <c r="G22" t="s">
        <v>76</v>
      </c>
      <c r="H22">
        <v>3</v>
      </c>
      <c r="I22">
        <v>279</v>
      </c>
      <c r="K22">
        <v>10.199999999999999</v>
      </c>
      <c r="L22">
        <v>18.600000000000001</v>
      </c>
      <c r="M22">
        <v>71.2</v>
      </c>
      <c r="O22">
        <v>32.700000000000003</v>
      </c>
      <c r="P22">
        <v>3</v>
      </c>
      <c r="Q22">
        <v>2.7</v>
      </c>
      <c r="R22">
        <v>2.7</v>
      </c>
      <c r="S22">
        <v>44.8</v>
      </c>
      <c r="T22">
        <v>10.3</v>
      </c>
      <c r="U22">
        <v>19</v>
      </c>
      <c r="V22">
        <v>225</v>
      </c>
      <c r="W22">
        <v>0.2</v>
      </c>
      <c r="X22">
        <v>7318.6</v>
      </c>
      <c r="Y22">
        <v>5.5</v>
      </c>
      <c r="Z22">
        <v>120.3</v>
      </c>
      <c r="AA22">
        <v>4014.2</v>
      </c>
      <c r="AB22">
        <v>2.4</v>
      </c>
      <c r="AC22">
        <v>8.9</v>
      </c>
      <c r="AD22">
        <v>15.8</v>
      </c>
      <c r="AE22">
        <v>10.6</v>
      </c>
      <c r="AF22">
        <v>14055</v>
      </c>
      <c r="AG22">
        <v>919.7</v>
      </c>
      <c r="AH22">
        <v>11.4</v>
      </c>
      <c r="AI22">
        <v>605.6</v>
      </c>
      <c r="AJ22">
        <v>880.3</v>
      </c>
      <c r="AK22">
        <v>28.4</v>
      </c>
      <c r="AL22">
        <v>14.8</v>
      </c>
      <c r="AM22">
        <v>25</v>
      </c>
      <c r="AN22">
        <v>292.5</v>
      </c>
      <c r="AP22">
        <v>43.3</v>
      </c>
      <c r="AQ22">
        <v>55</v>
      </c>
      <c r="AR22">
        <v>269.7</v>
      </c>
      <c r="AS22">
        <v>150.80000000000001</v>
      </c>
    </row>
    <row r="23" spans="1:45" x14ac:dyDescent="0.25">
      <c r="A23" t="s">
        <v>110</v>
      </c>
      <c r="B23" t="s">
        <v>111</v>
      </c>
      <c r="C23">
        <v>36.11598</v>
      </c>
      <c r="D23">
        <v>-94.56183</v>
      </c>
      <c r="E23" t="s">
        <v>112</v>
      </c>
      <c r="F23">
        <v>10</v>
      </c>
      <c r="G23" t="s">
        <v>76</v>
      </c>
      <c r="H23">
        <v>3</v>
      </c>
      <c r="I23">
        <v>279.10000000000002</v>
      </c>
      <c r="K23">
        <v>9.9</v>
      </c>
      <c r="L23">
        <v>12.7</v>
      </c>
      <c r="M23">
        <v>77.400000000000006</v>
      </c>
      <c r="N23">
        <v>6.55</v>
      </c>
      <c r="O23">
        <v>29.9</v>
      </c>
      <c r="P23">
        <v>2.5</v>
      </c>
      <c r="Q23">
        <v>4.7</v>
      </c>
      <c r="R23">
        <v>2.8</v>
      </c>
      <c r="T23">
        <v>7.7</v>
      </c>
      <c r="U23">
        <v>11.8</v>
      </c>
      <c r="V23">
        <v>245.3</v>
      </c>
      <c r="W23">
        <v>0.2</v>
      </c>
      <c r="X23">
        <v>6047</v>
      </c>
      <c r="Y23">
        <v>4.5</v>
      </c>
      <c r="Z23">
        <v>106.2</v>
      </c>
      <c r="AA23">
        <v>3713.8</v>
      </c>
      <c r="AB23">
        <v>2</v>
      </c>
      <c r="AC23">
        <v>8.1</v>
      </c>
      <c r="AD23">
        <v>13.9</v>
      </c>
      <c r="AE23">
        <v>9.5</v>
      </c>
      <c r="AF23">
        <v>11056.8</v>
      </c>
      <c r="AG23">
        <v>742</v>
      </c>
      <c r="AH23">
        <v>9.5</v>
      </c>
      <c r="AI23">
        <v>536.6</v>
      </c>
      <c r="AJ23">
        <v>784.8</v>
      </c>
      <c r="AK23">
        <v>24.4</v>
      </c>
      <c r="AL23">
        <v>14.7</v>
      </c>
      <c r="AM23">
        <v>14.1</v>
      </c>
      <c r="AN23">
        <v>252</v>
      </c>
      <c r="AP23">
        <v>31.5</v>
      </c>
      <c r="AQ23">
        <v>45.6</v>
      </c>
      <c r="AR23">
        <v>271.2</v>
      </c>
      <c r="AS23">
        <v>151.6</v>
      </c>
    </row>
    <row r="24" spans="1:45" x14ac:dyDescent="0.25">
      <c r="A24" t="s">
        <v>113</v>
      </c>
      <c r="B24" t="s">
        <v>114</v>
      </c>
      <c r="C24">
        <v>36.115819999999999</v>
      </c>
      <c r="D24">
        <v>-94.561189999999996</v>
      </c>
      <c r="E24" t="s">
        <v>115</v>
      </c>
      <c r="F24">
        <v>10</v>
      </c>
      <c r="G24" t="s">
        <v>76</v>
      </c>
      <c r="H24">
        <v>3</v>
      </c>
      <c r="I24">
        <v>279.39999999999998</v>
      </c>
      <c r="K24">
        <v>21.3</v>
      </c>
      <c r="L24">
        <v>7.5</v>
      </c>
      <c r="M24">
        <v>71.2</v>
      </c>
      <c r="O24">
        <v>34.200000000000003</v>
      </c>
      <c r="P24">
        <v>2.8</v>
      </c>
      <c r="Q24">
        <v>3</v>
      </c>
      <c r="R24">
        <v>2.5</v>
      </c>
      <c r="S24">
        <v>53.6</v>
      </c>
      <c r="T24">
        <v>12.3</v>
      </c>
      <c r="U24">
        <v>11.4</v>
      </c>
      <c r="V24">
        <v>224.6</v>
      </c>
      <c r="W24">
        <v>0.2</v>
      </c>
      <c r="X24">
        <v>6151.5</v>
      </c>
      <c r="Y24">
        <v>4.9000000000000004</v>
      </c>
      <c r="Z24">
        <v>108.8</v>
      </c>
      <c r="AA24">
        <v>3481.4</v>
      </c>
      <c r="AB24">
        <v>2.2999999999999998</v>
      </c>
      <c r="AC24">
        <v>8.3000000000000007</v>
      </c>
      <c r="AD24">
        <v>13.8</v>
      </c>
      <c r="AE24">
        <v>9.8000000000000007</v>
      </c>
      <c r="AF24">
        <v>13170.1</v>
      </c>
      <c r="AG24">
        <v>855</v>
      </c>
      <c r="AH24">
        <v>9.1</v>
      </c>
      <c r="AI24">
        <v>539.29999999999995</v>
      </c>
      <c r="AJ24">
        <v>948.9</v>
      </c>
      <c r="AK24">
        <v>23.4</v>
      </c>
      <c r="AL24">
        <v>13.6</v>
      </c>
      <c r="AM24">
        <v>22.2</v>
      </c>
      <c r="AN24">
        <v>248.9</v>
      </c>
      <c r="AP24">
        <v>43.5</v>
      </c>
      <c r="AQ24">
        <v>54.6</v>
      </c>
      <c r="AR24">
        <v>290.2</v>
      </c>
      <c r="AS24">
        <v>162.9</v>
      </c>
    </row>
    <row r="25" spans="1:45" x14ac:dyDescent="0.25">
      <c r="A25" t="s">
        <v>116</v>
      </c>
      <c r="B25" t="s">
        <v>117</v>
      </c>
      <c r="C25">
        <v>36.115049999999997</v>
      </c>
      <c r="D25">
        <v>-94.561610000000002</v>
      </c>
      <c r="E25" t="s">
        <v>118</v>
      </c>
      <c r="F25">
        <v>10</v>
      </c>
      <c r="G25" t="s">
        <v>76</v>
      </c>
      <c r="H25">
        <v>3</v>
      </c>
      <c r="I25">
        <v>279.39999999999998</v>
      </c>
      <c r="K25">
        <v>15</v>
      </c>
      <c r="L25">
        <v>15.2</v>
      </c>
      <c r="M25">
        <v>69.900000000000006</v>
      </c>
      <c r="N25">
        <v>6.46</v>
      </c>
      <c r="O25">
        <v>34.1</v>
      </c>
      <c r="P25">
        <v>3.2</v>
      </c>
      <c r="Q25">
        <v>5.0999999999999996</v>
      </c>
      <c r="R25">
        <v>3.5</v>
      </c>
      <c r="T25">
        <v>9.8000000000000007</v>
      </c>
      <c r="U25">
        <v>10.3</v>
      </c>
      <c r="V25">
        <v>211.7</v>
      </c>
      <c r="W25">
        <v>0.2</v>
      </c>
      <c r="X25">
        <v>7506.9</v>
      </c>
      <c r="Y25">
        <v>5.0999999999999996</v>
      </c>
      <c r="Z25">
        <v>109.5</v>
      </c>
      <c r="AA25">
        <v>3805.1</v>
      </c>
      <c r="AB25">
        <v>2.2999999999999998</v>
      </c>
      <c r="AC25">
        <v>8.5</v>
      </c>
      <c r="AD25">
        <v>14.6</v>
      </c>
      <c r="AE25">
        <v>10</v>
      </c>
      <c r="AF25">
        <v>12352.4</v>
      </c>
      <c r="AG25">
        <v>886</v>
      </c>
      <c r="AH25">
        <v>10.8</v>
      </c>
      <c r="AI25">
        <v>582.9</v>
      </c>
      <c r="AJ25">
        <v>871.2</v>
      </c>
      <c r="AK25">
        <v>24.5</v>
      </c>
      <c r="AL25">
        <v>15.3</v>
      </c>
      <c r="AM25">
        <v>14.1</v>
      </c>
      <c r="AN25">
        <v>259.89999999999998</v>
      </c>
      <c r="AP25">
        <v>31</v>
      </c>
      <c r="AQ25">
        <v>52.4</v>
      </c>
      <c r="AR25">
        <v>229.4</v>
      </c>
      <c r="AS25">
        <v>127.2</v>
      </c>
    </row>
    <row r="26" spans="1:45" x14ac:dyDescent="0.25">
      <c r="A26" t="s">
        <v>119</v>
      </c>
      <c r="B26" t="s">
        <v>120</v>
      </c>
      <c r="C26">
        <v>36.114980000000003</v>
      </c>
      <c r="D26">
        <v>-94.562380000000005</v>
      </c>
      <c r="E26" t="s">
        <v>121</v>
      </c>
      <c r="F26">
        <v>10</v>
      </c>
      <c r="G26" t="s">
        <v>76</v>
      </c>
      <c r="H26">
        <v>3</v>
      </c>
      <c r="I26">
        <v>279</v>
      </c>
      <c r="K26">
        <v>7.4</v>
      </c>
      <c r="L26">
        <v>18.899999999999999</v>
      </c>
      <c r="M26">
        <v>73.7</v>
      </c>
      <c r="N26">
        <v>6.43</v>
      </c>
      <c r="O26">
        <v>29.7</v>
      </c>
      <c r="P26">
        <v>2.2000000000000002</v>
      </c>
      <c r="Q26">
        <v>4.4000000000000004</v>
      </c>
      <c r="R26">
        <v>3.1</v>
      </c>
      <c r="S26">
        <v>42.1</v>
      </c>
      <c r="T26">
        <v>11</v>
      </c>
      <c r="U26">
        <v>14.8</v>
      </c>
      <c r="V26">
        <v>208.6</v>
      </c>
      <c r="W26">
        <v>0.2</v>
      </c>
      <c r="X26">
        <v>8641.9</v>
      </c>
      <c r="Y26">
        <v>4.7</v>
      </c>
      <c r="Z26">
        <v>117.1</v>
      </c>
      <c r="AA26">
        <v>3016.8</v>
      </c>
      <c r="AB26">
        <v>2.4</v>
      </c>
      <c r="AC26">
        <v>9</v>
      </c>
      <c r="AD26">
        <v>19.600000000000001</v>
      </c>
      <c r="AE26">
        <v>11.5</v>
      </c>
      <c r="AF26">
        <v>12503.9</v>
      </c>
      <c r="AG26">
        <v>1034.9000000000001</v>
      </c>
      <c r="AH26">
        <v>15.5</v>
      </c>
      <c r="AI26">
        <v>666.3</v>
      </c>
      <c r="AJ26">
        <v>775.8</v>
      </c>
      <c r="AK26">
        <v>33.299999999999997</v>
      </c>
      <c r="AL26">
        <v>17.399999999999999</v>
      </c>
      <c r="AM26">
        <v>17</v>
      </c>
      <c r="AN26">
        <v>167</v>
      </c>
      <c r="AP26">
        <v>50</v>
      </c>
      <c r="AQ26">
        <v>53.7</v>
      </c>
      <c r="AR26">
        <v>255.8</v>
      </c>
      <c r="AS26">
        <v>142.6</v>
      </c>
    </row>
    <row r="27" spans="1:45" x14ac:dyDescent="0.25">
      <c r="A27" t="s">
        <v>122</v>
      </c>
      <c r="B27" t="s">
        <v>123</v>
      </c>
      <c r="C27">
        <v>36.111367000000001</v>
      </c>
      <c r="D27">
        <v>-94.560249999999996</v>
      </c>
      <c r="E27" t="s">
        <v>124</v>
      </c>
      <c r="F27">
        <v>10</v>
      </c>
      <c r="G27" t="s">
        <v>76</v>
      </c>
      <c r="H27">
        <v>2</v>
      </c>
      <c r="I27">
        <v>279.10000000000002</v>
      </c>
      <c r="K27">
        <v>26.1</v>
      </c>
      <c r="L27">
        <v>20.2</v>
      </c>
      <c r="M27">
        <v>53.7</v>
      </c>
      <c r="N27">
        <v>6.86</v>
      </c>
      <c r="O27">
        <v>15.1</v>
      </c>
      <c r="P27">
        <v>1.3</v>
      </c>
      <c r="Q27">
        <v>2.5</v>
      </c>
      <c r="R27">
        <v>1</v>
      </c>
      <c r="S27">
        <v>28.6</v>
      </c>
      <c r="T27">
        <v>4.9000000000000004</v>
      </c>
      <c r="U27">
        <v>1.2</v>
      </c>
      <c r="V27">
        <v>104.4</v>
      </c>
      <c r="W27">
        <v>0.2</v>
      </c>
      <c r="X27">
        <v>5513.3</v>
      </c>
      <c r="Y27">
        <v>3.8</v>
      </c>
      <c r="Z27">
        <v>83.1</v>
      </c>
      <c r="AA27">
        <v>3041.3</v>
      </c>
      <c r="AB27">
        <v>1.8</v>
      </c>
      <c r="AC27">
        <v>7.2</v>
      </c>
      <c r="AD27">
        <v>14.8</v>
      </c>
      <c r="AE27">
        <v>7.4</v>
      </c>
      <c r="AF27">
        <v>10733.1</v>
      </c>
      <c r="AG27">
        <v>660.6</v>
      </c>
      <c r="AH27">
        <v>9.1999999999999993</v>
      </c>
      <c r="AI27">
        <v>446.3</v>
      </c>
      <c r="AJ27">
        <v>645</v>
      </c>
      <c r="AK27">
        <v>26.4</v>
      </c>
      <c r="AL27">
        <v>13.2</v>
      </c>
      <c r="AM27">
        <v>11.5</v>
      </c>
      <c r="AN27">
        <v>179.4</v>
      </c>
      <c r="AP27">
        <v>46</v>
      </c>
      <c r="AQ27">
        <v>36.9</v>
      </c>
      <c r="AR27">
        <v>114.2</v>
      </c>
      <c r="AS27">
        <v>62</v>
      </c>
    </row>
    <row r="28" spans="1:45" x14ac:dyDescent="0.25">
      <c r="A28" t="s">
        <v>125</v>
      </c>
      <c r="B28" t="s">
        <v>126</v>
      </c>
      <c r="C28">
        <v>36.111105999999999</v>
      </c>
      <c r="D28">
        <v>-94.559580999999994</v>
      </c>
      <c r="E28" t="s">
        <v>127</v>
      </c>
      <c r="F28">
        <v>10</v>
      </c>
      <c r="G28" t="s">
        <v>76</v>
      </c>
      <c r="H28">
        <v>4</v>
      </c>
      <c r="I28">
        <v>281.3</v>
      </c>
      <c r="K28">
        <v>22.4</v>
      </c>
      <c r="L28">
        <v>17.7</v>
      </c>
      <c r="M28">
        <v>59.9</v>
      </c>
      <c r="N28">
        <v>7.11</v>
      </c>
      <c r="O28">
        <v>18.7</v>
      </c>
      <c r="P28">
        <v>2</v>
      </c>
      <c r="Q28">
        <v>2.9</v>
      </c>
      <c r="R28">
        <v>1.8</v>
      </c>
      <c r="T28">
        <v>6.9</v>
      </c>
      <c r="U28">
        <v>10.1</v>
      </c>
      <c r="V28">
        <v>155.5</v>
      </c>
      <c r="W28">
        <v>0.2</v>
      </c>
      <c r="X28">
        <v>7835.2</v>
      </c>
      <c r="Y28">
        <v>4.3</v>
      </c>
      <c r="Z28">
        <v>91</v>
      </c>
      <c r="AA28">
        <v>3308.4</v>
      </c>
      <c r="AB28">
        <v>1.9</v>
      </c>
      <c r="AC28">
        <v>7.8</v>
      </c>
      <c r="AD28">
        <v>17.2</v>
      </c>
      <c r="AE28">
        <v>8.3000000000000007</v>
      </c>
      <c r="AF28">
        <v>11252.6</v>
      </c>
      <c r="AG28">
        <v>929.2</v>
      </c>
      <c r="AH28">
        <v>12.2</v>
      </c>
      <c r="AI28">
        <v>576.1</v>
      </c>
      <c r="AJ28">
        <v>685</v>
      </c>
      <c r="AK28">
        <v>29.6</v>
      </c>
      <c r="AL28">
        <v>14.8</v>
      </c>
      <c r="AM28">
        <v>12.9</v>
      </c>
      <c r="AN28">
        <v>205</v>
      </c>
      <c r="AP28">
        <v>45.9</v>
      </c>
      <c r="AQ28">
        <v>42.9</v>
      </c>
      <c r="AR28">
        <v>202</v>
      </c>
      <c r="AS28">
        <v>111.5</v>
      </c>
    </row>
    <row r="29" spans="1:45" x14ac:dyDescent="0.25">
      <c r="A29" t="s">
        <v>128</v>
      </c>
      <c r="B29" t="s">
        <v>129</v>
      </c>
      <c r="C29">
        <v>36.112017000000002</v>
      </c>
      <c r="D29">
        <v>-94.558166999999997</v>
      </c>
      <c r="E29" t="s">
        <v>130</v>
      </c>
      <c r="F29">
        <v>10</v>
      </c>
      <c r="G29" t="s">
        <v>76</v>
      </c>
      <c r="H29">
        <v>4</v>
      </c>
      <c r="I29">
        <v>281.2</v>
      </c>
      <c r="K29">
        <v>30</v>
      </c>
      <c r="L29">
        <v>5</v>
      </c>
      <c r="M29">
        <v>65</v>
      </c>
      <c r="N29">
        <v>6.47</v>
      </c>
      <c r="O29">
        <v>18.2</v>
      </c>
      <c r="P29">
        <v>3.2</v>
      </c>
      <c r="Q29">
        <v>4.9000000000000004</v>
      </c>
      <c r="R29">
        <v>3.2</v>
      </c>
      <c r="T29">
        <v>6.9</v>
      </c>
      <c r="U29">
        <v>12.5</v>
      </c>
      <c r="V29">
        <v>210.6</v>
      </c>
      <c r="W29">
        <v>0.2</v>
      </c>
      <c r="X29">
        <v>9570.7000000000007</v>
      </c>
      <c r="Y29">
        <v>3.9</v>
      </c>
      <c r="Z29">
        <v>104.8</v>
      </c>
      <c r="AA29">
        <v>4251.2</v>
      </c>
      <c r="AB29">
        <v>2</v>
      </c>
      <c r="AC29">
        <v>8.1</v>
      </c>
      <c r="AD29">
        <v>18</v>
      </c>
      <c r="AE29">
        <v>9.1999999999999993</v>
      </c>
      <c r="AF29">
        <v>12399.5</v>
      </c>
      <c r="AG29">
        <v>1106.5</v>
      </c>
      <c r="AH29">
        <v>14.3</v>
      </c>
      <c r="AI29">
        <v>674.9</v>
      </c>
      <c r="AJ29">
        <v>765.1</v>
      </c>
      <c r="AK29">
        <v>32.5</v>
      </c>
      <c r="AL29">
        <v>14.9</v>
      </c>
      <c r="AM29">
        <v>13.5</v>
      </c>
      <c r="AN29">
        <v>290.60000000000002</v>
      </c>
      <c r="AP29">
        <v>32.4</v>
      </c>
      <c r="AQ29">
        <v>49.7</v>
      </c>
      <c r="AR29">
        <v>273.39999999999998</v>
      </c>
      <c r="AS29">
        <v>152.9</v>
      </c>
    </row>
    <row r="30" spans="1:45" x14ac:dyDescent="0.25">
      <c r="A30" t="s">
        <v>131</v>
      </c>
      <c r="B30" t="s">
        <v>132</v>
      </c>
      <c r="C30">
        <v>36.108249999999998</v>
      </c>
      <c r="D30">
        <v>-94.560182999999995</v>
      </c>
      <c r="E30" t="s">
        <v>133</v>
      </c>
      <c r="F30">
        <v>10</v>
      </c>
      <c r="G30" t="s">
        <v>76</v>
      </c>
      <c r="H30">
        <v>1</v>
      </c>
      <c r="I30">
        <v>280.10000000000002</v>
      </c>
      <c r="K30">
        <v>12.3</v>
      </c>
      <c r="L30">
        <v>20.2</v>
      </c>
      <c r="M30">
        <v>67.5</v>
      </c>
      <c r="O30">
        <v>30.7</v>
      </c>
      <c r="P30">
        <v>2.4</v>
      </c>
      <c r="Q30">
        <v>3.6</v>
      </c>
      <c r="R30">
        <v>2.9</v>
      </c>
      <c r="T30">
        <v>8.5</v>
      </c>
      <c r="U30">
        <v>13.3</v>
      </c>
      <c r="V30">
        <v>245.5</v>
      </c>
      <c r="W30">
        <v>0.2</v>
      </c>
      <c r="X30">
        <v>8166.9</v>
      </c>
      <c r="Y30">
        <v>5.0999999999999996</v>
      </c>
      <c r="Z30">
        <v>125.9</v>
      </c>
      <c r="AA30">
        <v>3775</v>
      </c>
      <c r="AB30">
        <v>2.6</v>
      </c>
      <c r="AC30">
        <v>9.6999999999999993</v>
      </c>
      <c r="AD30">
        <v>16.5</v>
      </c>
      <c r="AE30">
        <v>11.2</v>
      </c>
      <c r="AF30">
        <v>14772</v>
      </c>
      <c r="AG30">
        <v>908.3</v>
      </c>
      <c r="AH30">
        <v>12.4</v>
      </c>
      <c r="AI30">
        <v>616.6</v>
      </c>
      <c r="AJ30">
        <v>1211.8</v>
      </c>
      <c r="AK30">
        <v>28.5</v>
      </c>
      <c r="AL30">
        <v>17.899999999999999</v>
      </c>
      <c r="AM30">
        <v>16.2</v>
      </c>
      <c r="AN30">
        <v>218</v>
      </c>
      <c r="AP30">
        <v>38.4</v>
      </c>
      <c r="AQ30">
        <v>60.4</v>
      </c>
      <c r="AR30">
        <v>291.60000000000002</v>
      </c>
      <c r="AS30">
        <v>163.69999999999999</v>
      </c>
    </row>
    <row r="31" spans="1:45" x14ac:dyDescent="0.25">
      <c r="A31" t="s">
        <v>134</v>
      </c>
      <c r="B31" t="s">
        <v>135</v>
      </c>
      <c r="C31">
        <v>36.109699999999997</v>
      </c>
      <c r="D31">
        <v>-94.560282999999998</v>
      </c>
      <c r="E31" t="s">
        <v>136</v>
      </c>
      <c r="F31">
        <v>10</v>
      </c>
      <c r="G31" t="s">
        <v>76</v>
      </c>
      <c r="H31">
        <v>2</v>
      </c>
      <c r="I31">
        <v>279.60000000000002</v>
      </c>
      <c r="K31">
        <v>12.3</v>
      </c>
      <c r="L31">
        <v>17.7</v>
      </c>
      <c r="M31">
        <v>70</v>
      </c>
      <c r="O31">
        <v>30</v>
      </c>
      <c r="P31">
        <v>2.2000000000000002</v>
      </c>
      <c r="Q31">
        <v>2</v>
      </c>
      <c r="R31">
        <v>1.6</v>
      </c>
      <c r="S31">
        <v>33.4</v>
      </c>
      <c r="T31">
        <v>6.2</v>
      </c>
      <c r="U31">
        <v>6.6</v>
      </c>
      <c r="V31">
        <v>135.6</v>
      </c>
      <c r="W31">
        <v>0.2</v>
      </c>
      <c r="X31">
        <v>6685.9</v>
      </c>
      <c r="Y31">
        <v>4.2</v>
      </c>
      <c r="Z31">
        <v>91.6</v>
      </c>
      <c r="AA31">
        <v>3492.8</v>
      </c>
      <c r="AB31">
        <v>1.8</v>
      </c>
      <c r="AC31">
        <v>7.7</v>
      </c>
      <c r="AD31">
        <v>13.6</v>
      </c>
      <c r="AE31">
        <v>8</v>
      </c>
      <c r="AF31">
        <v>11543.3</v>
      </c>
      <c r="AG31">
        <v>721.9</v>
      </c>
      <c r="AH31">
        <v>9.5</v>
      </c>
      <c r="AI31">
        <v>496.4</v>
      </c>
      <c r="AJ31">
        <v>735.7</v>
      </c>
      <c r="AK31">
        <v>24.9</v>
      </c>
      <c r="AL31">
        <v>13.2</v>
      </c>
      <c r="AM31">
        <v>12.6</v>
      </c>
      <c r="AN31">
        <v>174.8</v>
      </c>
      <c r="AP31">
        <v>53.9</v>
      </c>
      <c r="AQ31">
        <v>37.299999999999997</v>
      </c>
      <c r="AR31">
        <v>273.2</v>
      </c>
      <c r="AS31">
        <v>152.80000000000001</v>
      </c>
    </row>
    <row r="32" spans="1:45" x14ac:dyDescent="0.25">
      <c r="A32" t="s">
        <v>137</v>
      </c>
      <c r="B32" t="s">
        <v>138</v>
      </c>
      <c r="C32">
        <v>36.110633</v>
      </c>
      <c r="D32">
        <v>-94.5608</v>
      </c>
      <c r="E32" t="s">
        <v>139</v>
      </c>
      <c r="F32">
        <v>10</v>
      </c>
      <c r="G32" t="s">
        <v>76</v>
      </c>
      <c r="H32">
        <v>2</v>
      </c>
      <c r="I32">
        <v>279.39999999999998</v>
      </c>
      <c r="K32">
        <v>12.3</v>
      </c>
      <c r="L32">
        <v>15.2</v>
      </c>
      <c r="M32">
        <v>72.5</v>
      </c>
      <c r="O32">
        <v>28.2</v>
      </c>
      <c r="P32">
        <v>2.4</v>
      </c>
      <c r="Q32">
        <v>2.2999999999999998</v>
      </c>
      <c r="R32">
        <v>1.7</v>
      </c>
      <c r="S32">
        <v>35.200000000000003</v>
      </c>
      <c r="T32">
        <v>6.4</v>
      </c>
      <c r="U32">
        <v>10.4</v>
      </c>
      <c r="V32">
        <v>143.69999999999999</v>
      </c>
      <c r="W32">
        <v>0.2</v>
      </c>
      <c r="X32">
        <v>7114.5</v>
      </c>
      <c r="Y32">
        <v>3.7</v>
      </c>
      <c r="Z32">
        <v>96.6</v>
      </c>
      <c r="AA32">
        <v>3798.3</v>
      </c>
      <c r="AB32">
        <v>1.9</v>
      </c>
      <c r="AC32">
        <v>7.9</v>
      </c>
      <c r="AD32">
        <v>14.1</v>
      </c>
      <c r="AE32">
        <v>8.3000000000000007</v>
      </c>
      <c r="AF32">
        <v>12400.6</v>
      </c>
      <c r="AG32">
        <v>711.4</v>
      </c>
      <c r="AH32">
        <v>9.5</v>
      </c>
      <c r="AI32">
        <v>495.4</v>
      </c>
      <c r="AJ32">
        <v>757.2</v>
      </c>
      <c r="AK32">
        <v>27</v>
      </c>
      <c r="AL32">
        <v>13.8</v>
      </c>
      <c r="AM32">
        <v>12.6</v>
      </c>
      <c r="AN32">
        <v>206.7</v>
      </c>
      <c r="AP32">
        <v>43</v>
      </c>
      <c r="AQ32">
        <v>40.5</v>
      </c>
      <c r="AR32">
        <v>277.39999999999998</v>
      </c>
      <c r="AS32">
        <v>155.30000000000001</v>
      </c>
    </row>
    <row r="33" spans="1:45" x14ac:dyDescent="0.25">
      <c r="A33" t="s">
        <v>140</v>
      </c>
      <c r="B33" t="s">
        <v>141</v>
      </c>
      <c r="C33">
        <v>36.111583000000003</v>
      </c>
      <c r="D33">
        <v>-94.561549999999997</v>
      </c>
      <c r="E33" t="s">
        <v>142</v>
      </c>
      <c r="F33">
        <v>10</v>
      </c>
      <c r="G33" t="s">
        <v>76</v>
      </c>
      <c r="H33">
        <v>2</v>
      </c>
      <c r="I33">
        <v>279.5</v>
      </c>
      <c r="K33">
        <v>14.9</v>
      </c>
      <c r="L33">
        <v>13.9</v>
      </c>
      <c r="M33">
        <v>71.2</v>
      </c>
      <c r="O33">
        <v>30</v>
      </c>
      <c r="P33">
        <v>2.8</v>
      </c>
      <c r="Q33">
        <v>1.9</v>
      </c>
      <c r="R33">
        <v>2</v>
      </c>
      <c r="U33">
        <v>8.1999999999999993</v>
      </c>
      <c r="V33">
        <v>203</v>
      </c>
      <c r="X33">
        <v>4658.7</v>
      </c>
      <c r="Z33">
        <v>108.4</v>
      </c>
      <c r="AA33">
        <v>3947.8</v>
      </c>
      <c r="AC33">
        <v>7.8</v>
      </c>
      <c r="AD33">
        <v>13</v>
      </c>
      <c r="AE33">
        <v>9.6</v>
      </c>
      <c r="AF33">
        <v>13249.3</v>
      </c>
      <c r="AG33">
        <v>672.4</v>
      </c>
      <c r="AH33">
        <v>6.3</v>
      </c>
      <c r="AI33">
        <v>469.4</v>
      </c>
      <c r="AJ33">
        <v>869.3</v>
      </c>
      <c r="AK33">
        <v>22</v>
      </c>
      <c r="AL33">
        <v>12.1</v>
      </c>
      <c r="AM33">
        <v>31.3</v>
      </c>
      <c r="AN33">
        <v>328.2</v>
      </c>
      <c r="AP33">
        <v>31.8</v>
      </c>
      <c r="AQ33">
        <v>46.6</v>
      </c>
      <c r="AR33">
        <v>204.4</v>
      </c>
      <c r="AS33">
        <v>112.9</v>
      </c>
    </row>
    <row r="34" spans="1:45" x14ac:dyDescent="0.25">
      <c r="A34" t="s">
        <v>143</v>
      </c>
      <c r="B34" t="s">
        <v>144</v>
      </c>
      <c r="C34">
        <v>36.111533000000001</v>
      </c>
      <c r="D34">
        <v>-94.562200000000004</v>
      </c>
      <c r="E34" t="s">
        <v>145</v>
      </c>
      <c r="F34">
        <v>10</v>
      </c>
      <c r="G34" t="s">
        <v>76</v>
      </c>
      <c r="H34">
        <v>2</v>
      </c>
      <c r="I34">
        <v>279.89999999999998</v>
      </c>
      <c r="K34">
        <v>37.299999999999997</v>
      </c>
      <c r="L34">
        <v>13.9</v>
      </c>
      <c r="M34">
        <v>48.7</v>
      </c>
      <c r="O34">
        <v>23.3</v>
      </c>
      <c r="P34">
        <v>2.4</v>
      </c>
      <c r="Q34">
        <v>2.7</v>
      </c>
      <c r="R34">
        <v>2.2999999999999998</v>
      </c>
      <c r="S34">
        <v>42</v>
      </c>
      <c r="T34">
        <v>8.9</v>
      </c>
      <c r="U34">
        <v>7.4</v>
      </c>
      <c r="V34">
        <v>143.5</v>
      </c>
      <c r="W34">
        <v>0.1</v>
      </c>
      <c r="X34">
        <v>8027.4</v>
      </c>
      <c r="Y34">
        <v>4</v>
      </c>
      <c r="Z34">
        <v>90.3</v>
      </c>
      <c r="AA34">
        <v>3551.6</v>
      </c>
      <c r="AB34">
        <v>1.8</v>
      </c>
      <c r="AC34">
        <v>6.9</v>
      </c>
      <c r="AD34">
        <v>17.100000000000001</v>
      </c>
      <c r="AE34">
        <v>8.1999999999999993</v>
      </c>
      <c r="AF34">
        <v>11839.8</v>
      </c>
      <c r="AG34">
        <v>930.1</v>
      </c>
      <c r="AH34">
        <v>11.1</v>
      </c>
      <c r="AI34">
        <v>566.79999999999995</v>
      </c>
      <c r="AJ34">
        <v>599.5</v>
      </c>
      <c r="AK34">
        <v>26.5</v>
      </c>
      <c r="AL34">
        <v>14.6</v>
      </c>
      <c r="AM34">
        <v>12.8</v>
      </c>
      <c r="AN34">
        <v>207.3</v>
      </c>
      <c r="AP34">
        <v>64</v>
      </c>
      <c r="AQ34">
        <v>38.5</v>
      </c>
      <c r="AR34">
        <v>225.6</v>
      </c>
      <c r="AS34">
        <v>125</v>
      </c>
    </row>
    <row r="35" spans="1:45" x14ac:dyDescent="0.25">
      <c r="A35" t="s">
        <v>146</v>
      </c>
      <c r="B35" t="s">
        <v>147</v>
      </c>
      <c r="C35">
        <v>36.110599999999998</v>
      </c>
      <c r="D35">
        <v>-94.561383000000006</v>
      </c>
      <c r="E35" t="s">
        <v>148</v>
      </c>
      <c r="F35">
        <v>10</v>
      </c>
      <c r="G35" t="s">
        <v>76</v>
      </c>
      <c r="H35">
        <v>2</v>
      </c>
      <c r="I35">
        <v>279.8</v>
      </c>
      <c r="K35">
        <v>6.1</v>
      </c>
      <c r="L35">
        <v>17.7</v>
      </c>
      <c r="M35">
        <v>76.2</v>
      </c>
      <c r="O35">
        <v>28.5</v>
      </c>
      <c r="P35">
        <v>2.2999999999999998</v>
      </c>
      <c r="Q35">
        <v>2</v>
      </c>
      <c r="R35">
        <v>1.6</v>
      </c>
      <c r="U35">
        <v>7.6</v>
      </c>
      <c r="V35">
        <v>219.2</v>
      </c>
      <c r="X35">
        <v>4691.3999999999996</v>
      </c>
      <c r="Z35">
        <v>91.4</v>
      </c>
      <c r="AA35">
        <v>2953.1</v>
      </c>
      <c r="AB35">
        <v>1.1000000000000001</v>
      </c>
      <c r="AC35">
        <v>6.7</v>
      </c>
      <c r="AD35">
        <v>11.9</v>
      </c>
      <c r="AE35">
        <v>7.7</v>
      </c>
      <c r="AF35">
        <v>11449.9</v>
      </c>
      <c r="AG35">
        <v>691</v>
      </c>
      <c r="AH35">
        <v>7.2</v>
      </c>
      <c r="AI35">
        <v>456.4</v>
      </c>
      <c r="AJ35">
        <v>751.6</v>
      </c>
      <c r="AK35">
        <v>22.3</v>
      </c>
      <c r="AL35">
        <v>10.6</v>
      </c>
      <c r="AM35">
        <v>26.7</v>
      </c>
      <c r="AN35">
        <v>192.8</v>
      </c>
      <c r="AP35">
        <v>17.899999999999999</v>
      </c>
      <c r="AQ35">
        <v>43.7</v>
      </c>
      <c r="AR35">
        <v>180.6</v>
      </c>
      <c r="AS35">
        <v>99.3</v>
      </c>
    </row>
    <row r="36" spans="1:45" x14ac:dyDescent="0.25">
      <c r="A36" t="s">
        <v>149</v>
      </c>
      <c r="B36" t="s">
        <v>150</v>
      </c>
      <c r="C36">
        <v>36.109743999999999</v>
      </c>
      <c r="D36">
        <v>-94.561172400000004</v>
      </c>
      <c r="E36" t="s">
        <v>151</v>
      </c>
      <c r="F36">
        <v>10</v>
      </c>
      <c r="G36" t="s">
        <v>76</v>
      </c>
      <c r="H36">
        <v>2</v>
      </c>
      <c r="I36">
        <v>279.89999999999998</v>
      </c>
      <c r="K36">
        <v>22.5</v>
      </c>
      <c r="L36">
        <v>8.6999999999999993</v>
      </c>
      <c r="M36">
        <v>68.7</v>
      </c>
      <c r="O36">
        <v>31.8</v>
      </c>
      <c r="P36">
        <v>2.6</v>
      </c>
      <c r="Q36">
        <v>1.9</v>
      </c>
      <c r="R36">
        <v>1.6</v>
      </c>
      <c r="U36">
        <v>27.8</v>
      </c>
      <c r="V36">
        <v>205.8</v>
      </c>
      <c r="X36">
        <v>4400.8999999999996</v>
      </c>
      <c r="Z36">
        <v>91.8</v>
      </c>
      <c r="AA36">
        <v>3481</v>
      </c>
      <c r="AB36">
        <v>1</v>
      </c>
      <c r="AC36">
        <v>7.1</v>
      </c>
      <c r="AD36">
        <v>11.7</v>
      </c>
      <c r="AE36">
        <v>8.1999999999999993</v>
      </c>
      <c r="AF36">
        <v>11782.2</v>
      </c>
      <c r="AG36">
        <v>697.6</v>
      </c>
      <c r="AH36">
        <v>6.4</v>
      </c>
      <c r="AI36">
        <v>446.2</v>
      </c>
      <c r="AJ36">
        <v>726.7</v>
      </c>
      <c r="AK36">
        <v>22.2</v>
      </c>
      <c r="AL36">
        <v>10.7</v>
      </c>
      <c r="AM36">
        <v>27.9</v>
      </c>
      <c r="AN36">
        <v>276.5</v>
      </c>
      <c r="AP36">
        <v>34.299999999999997</v>
      </c>
      <c r="AQ36">
        <v>41</v>
      </c>
      <c r="AR36">
        <v>266.60000000000002</v>
      </c>
      <c r="AS36">
        <v>148.9</v>
      </c>
    </row>
    <row r="37" spans="1:45" x14ac:dyDescent="0.25">
      <c r="A37" t="s">
        <v>152</v>
      </c>
      <c r="B37" t="s">
        <v>153</v>
      </c>
      <c r="C37">
        <v>36.108533000000001</v>
      </c>
      <c r="D37">
        <v>-94.560900000000004</v>
      </c>
      <c r="E37" t="s">
        <v>154</v>
      </c>
      <c r="F37">
        <v>10</v>
      </c>
      <c r="G37" t="s">
        <v>76</v>
      </c>
      <c r="H37">
        <v>1</v>
      </c>
      <c r="I37">
        <v>280.39999999999998</v>
      </c>
      <c r="K37">
        <v>12.4</v>
      </c>
      <c r="L37">
        <v>17.7</v>
      </c>
      <c r="M37">
        <v>70</v>
      </c>
      <c r="O37">
        <v>29.5</v>
      </c>
      <c r="P37">
        <v>2.2999999999999998</v>
      </c>
      <c r="Q37">
        <v>2.2000000000000002</v>
      </c>
      <c r="R37">
        <v>2.2999999999999998</v>
      </c>
      <c r="U37">
        <v>9.6</v>
      </c>
      <c r="V37">
        <v>519.70000000000005</v>
      </c>
      <c r="X37">
        <v>4232.6000000000004</v>
      </c>
      <c r="Z37">
        <v>102.6</v>
      </c>
      <c r="AA37">
        <v>3762</v>
      </c>
      <c r="AB37">
        <v>1.2</v>
      </c>
      <c r="AC37">
        <v>8</v>
      </c>
      <c r="AD37">
        <v>12.1</v>
      </c>
      <c r="AE37">
        <v>9.3000000000000007</v>
      </c>
      <c r="AF37">
        <v>12956.6</v>
      </c>
      <c r="AG37">
        <v>691.9</v>
      </c>
      <c r="AH37">
        <v>5.4</v>
      </c>
      <c r="AI37">
        <v>456.7</v>
      </c>
      <c r="AJ37">
        <v>852.7</v>
      </c>
      <c r="AK37">
        <v>17.5</v>
      </c>
      <c r="AL37">
        <v>11.8</v>
      </c>
      <c r="AM37">
        <v>30.4</v>
      </c>
      <c r="AN37">
        <v>283.39999999999998</v>
      </c>
      <c r="AP37">
        <v>38.6</v>
      </c>
      <c r="AQ37">
        <v>47.3</v>
      </c>
      <c r="AR37">
        <v>253.2</v>
      </c>
      <c r="AS37">
        <v>141.1</v>
      </c>
    </row>
    <row r="38" spans="1:45" x14ac:dyDescent="0.25">
      <c r="A38" t="s">
        <v>155</v>
      </c>
      <c r="B38" t="s">
        <v>156</v>
      </c>
      <c r="C38">
        <v>36.116366999999997</v>
      </c>
      <c r="D38">
        <v>-94.556019000000006</v>
      </c>
      <c r="E38" t="s">
        <v>157</v>
      </c>
      <c r="F38">
        <v>10</v>
      </c>
      <c r="G38" t="s">
        <v>76</v>
      </c>
      <c r="H38">
        <v>4</v>
      </c>
      <c r="I38">
        <v>279.2</v>
      </c>
      <c r="K38">
        <v>11.2</v>
      </c>
      <c r="L38">
        <v>17.7</v>
      </c>
      <c r="M38">
        <v>71.099999999999994</v>
      </c>
      <c r="O38">
        <v>34.799999999999997</v>
      </c>
      <c r="P38">
        <v>2.6</v>
      </c>
      <c r="Q38">
        <v>2.2000000000000002</v>
      </c>
      <c r="R38">
        <v>2.2000000000000002</v>
      </c>
      <c r="T38">
        <v>8.9</v>
      </c>
      <c r="U38">
        <v>6.5</v>
      </c>
      <c r="V38">
        <v>268.2</v>
      </c>
      <c r="W38">
        <v>0.2</v>
      </c>
      <c r="X38">
        <v>7148.5</v>
      </c>
      <c r="Y38">
        <v>4.8</v>
      </c>
      <c r="Z38">
        <v>106.5</v>
      </c>
      <c r="AA38">
        <v>4048.1</v>
      </c>
      <c r="AB38">
        <v>2.1</v>
      </c>
      <c r="AC38">
        <v>8.6999999999999993</v>
      </c>
      <c r="AD38">
        <v>14.3</v>
      </c>
      <c r="AE38">
        <v>9.4</v>
      </c>
      <c r="AF38">
        <v>12725.9</v>
      </c>
      <c r="AG38">
        <v>777.1</v>
      </c>
      <c r="AH38">
        <v>9.9</v>
      </c>
      <c r="AI38">
        <v>563.5</v>
      </c>
      <c r="AJ38">
        <v>838.6</v>
      </c>
      <c r="AK38">
        <v>25.1</v>
      </c>
      <c r="AL38">
        <v>14.7</v>
      </c>
      <c r="AM38">
        <v>13.6</v>
      </c>
      <c r="AN38">
        <v>251.3</v>
      </c>
      <c r="AP38">
        <v>39.6</v>
      </c>
      <c r="AQ38">
        <v>43.5</v>
      </c>
      <c r="AR38">
        <v>248.8</v>
      </c>
      <c r="AS38">
        <v>138.5</v>
      </c>
    </row>
    <row r="39" spans="1:45" x14ac:dyDescent="0.25">
      <c r="A39" t="s">
        <v>158</v>
      </c>
      <c r="B39" t="s">
        <v>159</v>
      </c>
      <c r="C39">
        <v>36.115859</v>
      </c>
      <c r="D39">
        <v>-94.554721000000001</v>
      </c>
      <c r="E39" t="s">
        <v>160</v>
      </c>
      <c r="F39">
        <v>10</v>
      </c>
      <c r="G39" t="s">
        <v>76</v>
      </c>
      <c r="H39">
        <v>4</v>
      </c>
      <c r="I39">
        <v>279.60000000000002</v>
      </c>
      <c r="K39">
        <v>13.6</v>
      </c>
      <c r="L39">
        <v>16.399999999999999</v>
      </c>
      <c r="M39">
        <v>69.900000000000006</v>
      </c>
      <c r="O39">
        <v>36.799999999999997</v>
      </c>
      <c r="P39">
        <v>2.2999999999999998</v>
      </c>
      <c r="Q39">
        <v>3.1</v>
      </c>
      <c r="R39">
        <v>2.8</v>
      </c>
      <c r="S39">
        <v>37.700000000000003</v>
      </c>
      <c r="T39">
        <v>10.4</v>
      </c>
      <c r="U39">
        <v>11</v>
      </c>
      <c r="V39">
        <v>183.3</v>
      </c>
      <c r="W39">
        <v>0.2</v>
      </c>
      <c r="X39">
        <v>8665.9</v>
      </c>
      <c r="Y39">
        <v>4.3</v>
      </c>
      <c r="Z39">
        <v>101.7</v>
      </c>
      <c r="AA39">
        <v>3892.5</v>
      </c>
      <c r="AB39">
        <v>2</v>
      </c>
      <c r="AC39">
        <v>8.4</v>
      </c>
      <c r="AD39">
        <v>16.399999999999999</v>
      </c>
      <c r="AE39">
        <v>9.1</v>
      </c>
      <c r="AF39">
        <v>12984.4</v>
      </c>
      <c r="AG39">
        <v>1010</v>
      </c>
      <c r="AH39">
        <v>12.7</v>
      </c>
      <c r="AI39">
        <v>615.9</v>
      </c>
      <c r="AJ39">
        <v>789</v>
      </c>
      <c r="AK39">
        <v>27.1</v>
      </c>
      <c r="AL39">
        <v>15</v>
      </c>
      <c r="AM39">
        <v>13.4</v>
      </c>
      <c r="AN39">
        <v>240.9</v>
      </c>
      <c r="AP39">
        <v>62.1</v>
      </c>
      <c r="AQ39">
        <v>44.4</v>
      </c>
      <c r="AR39">
        <v>246</v>
      </c>
      <c r="AS39">
        <v>136.9</v>
      </c>
    </row>
    <row r="40" spans="1:45" x14ac:dyDescent="0.25">
      <c r="A40" t="s">
        <v>161</v>
      </c>
      <c r="B40" t="s">
        <v>162</v>
      </c>
      <c r="C40">
        <v>36.114995999999998</v>
      </c>
      <c r="D40">
        <v>-94.554445999999999</v>
      </c>
      <c r="E40" t="s">
        <v>163</v>
      </c>
      <c r="F40">
        <v>10</v>
      </c>
      <c r="G40" t="s">
        <v>76</v>
      </c>
      <c r="H40">
        <v>4</v>
      </c>
      <c r="I40">
        <v>279.7</v>
      </c>
      <c r="K40">
        <v>9.8000000000000007</v>
      </c>
      <c r="L40">
        <v>16.399999999999999</v>
      </c>
      <c r="M40">
        <v>73.7</v>
      </c>
      <c r="O40">
        <v>35.200000000000003</v>
      </c>
      <c r="P40">
        <v>2.2000000000000002</v>
      </c>
      <c r="Q40">
        <v>2.5</v>
      </c>
      <c r="R40">
        <v>2.2999999999999998</v>
      </c>
      <c r="T40">
        <v>5.7</v>
      </c>
      <c r="U40">
        <v>7.8</v>
      </c>
      <c r="V40">
        <v>168.6</v>
      </c>
      <c r="W40">
        <v>0.2</v>
      </c>
      <c r="X40">
        <v>6347</v>
      </c>
      <c r="Y40">
        <v>4.0999999999999996</v>
      </c>
      <c r="Z40">
        <v>94.4</v>
      </c>
      <c r="AA40">
        <v>2845.5</v>
      </c>
      <c r="AB40">
        <v>2</v>
      </c>
      <c r="AC40">
        <v>8.4</v>
      </c>
      <c r="AD40">
        <v>16.3</v>
      </c>
      <c r="AE40">
        <v>9.1999999999999993</v>
      </c>
      <c r="AF40">
        <v>11620.1</v>
      </c>
      <c r="AG40">
        <v>838.1</v>
      </c>
      <c r="AH40">
        <v>12</v>
      </c>
      <c r="AI40">
        <v>579</v>
      </c>
      <c r="AJ40">
        <v>811.8</v>
      </c>
      <c r="AK40">
        <v>58.1</v>
      </c>
      <c r="AL40">
        <v>12.6</v>
      </c>
      <c r="AM40">
        <v>33.700000000000003</v>
      </c>
      <c r="AN40">
        <v>160.5</v>
      </c>
      <c r="AP40">
        <v>51.5</v>
      </c>
      <c r="AQ40">
        <v>45.9</v>
      </c>
      <c r="AR40">
        <v>205.4</v>
      </c>
      <c r="AS40">
        <v>113.4</v>
      </c>
    </row>
    <row r="41" spans="1:45" x14ac:dyDescent="0.25">
      <c r="A41" t="s">
        <v>164</v>
      </c>
      <c r="B41" t="s">
        <v>165</v>
      </c>
      <c r="C41">
        <v>36.114927000000002</v>
      </c>
      <c r="D41">
        <v>-94.556083000000001</v>
      </c>
      <c r="E41" t="s">
        <v>166</v>
      </c>
      <c r="F41">
        <v>10</v>
      </c>
      <c r="G41" t="s">
        <v>76</v>
      </c>
      <c r="H41">
        <v>4</v>
      </c>
      <c r="I41">
        <v>278.7</v>
      </c>
      <c r="K41">
        <v>4.9000000000000004</v>
      </c>
      <c r="L41">
        <v>20.2</v>
      </c>
      <c r="M41">
        <v>74.900000000000006</v>
      </c>
      <c r="O41">
        <v>34.9</v>
      </c>
      <c r="P41">
        <v>2.6</v>
      </c>
      <c r="Q41">
        <v>2.9</v>
      </c>
      <c r="R41">
        <v>1.7</v>
      </c>
      <c r="T41">
        <v>6.6</v>
      </c>
      <c r="U41">
        <v>13.4</v>
      </c>
      <c r="V41">
        <v>172.2</v>
      </c>
      <c r="W41">
        <v>0.2</v>
      </c>
      <c r="X41">
        <v>7432.2</v>
      </c>
      <c r="Y41">
        <v>5.2</v>
      </c>
      <c r="Z41">
        <v>120.1</v>
      </c>
      <c r="AA41">
        <v>2988.5</v>
      </c>
      <c r="AB41">
        <v>2.5</v>
      </c>
      <c r="AC41">
        <v>9.8000000000000007</v>
      </c>
      <c r="AD41">
        <v>18.100000000000001</v>
      </c>
      <c r="AE41">
        <v>10.7</v>
      </c>
      <c r="AF41">
        <v>14175.9</v>
      </c>
      <c r="AG41">
        <v>888.2</v>
      </c>
      <c r="AH41">
        <v>14.3</v>
      </c>
      <c r="AI41">
        <v>652.5</v>
      </c>
      <c r="AJ41">
        <v>999.5</v>
      </c>
      <c r="AK41">
        <v>62.4</v>
      </c>
      <c r="AL41">
        <v>14.4</v>
      </c>
      <c r="AM41">
        <v>40.5</v>
      </c>
      <c r="AN41">
        <v>145.9</v>
      </c>
      <c r="AP41">
        <v>53.6</v>
      </c>
      <c r="AQ41">
        <v>55.7</v>
      </c>
      <c r="AR41">
        <v>214.9</v>
      </c>
      <c r="AS41">
        <v>118.9</v>
      </c>
    </row>
    <row r="42" spans="1:45" x14ac:dyDescent="0.25">
      <c r="A42" t="s">
        <v>167</v>
      </c>
      <c r="B42" t="s">
        <v>168</v>
      </c>
      <c r="C42">
        <v>36.115569999999998</v>
      </c>
      <c r="D42">
        <v>-94.557288999999997</v>
      </c>
      <c r="E42" t="s">
        <v>169</v>
      </c>
      <c r="F42">
        <v>10</v>
      </c>
      <c r="G42" t="s">
        <v>76</v>
      </c>
      <c r="H42">
        <v>4</v>
      </c>
      <c r="I42">
        <v>278.60000000000002</v>
      </c>
      <c r="K42">
        <v>12.4</v>
      </c>
      <c r="L42">
        <v>14.8</v>
      </c>
      <c r="M42">
        <v>72.8</v>
      </c>
      <c r="O42">
        <v>39.299999999999997</v>
      </c>
      <c r="P42">
        <v>3.6</v>
      </c>
      <c r="Q42">
        <v>2.8</v>
      </c>
      <c r="R42">
        <v>3.1</v>
      </c>
      <c r="T42">
        <v>10.1</v>
      </c>
      <c r="U42">
        <v>16.3</v>
      </c>
      <c r="V42">
        <v>236.1</v>
      </c>
      <c r="W42">
        <v>0.2</v>
      </c>
      <c r="X42">
        <v>8100.6</v>
      </c>
      <c r="Y42">
        <v>6.2</v>
      </c>
      <c r="Z42">
        <v>124.7</v>
      </c>
      <c r="AA42">
        <v>4535.3</v>
      </c>
      <c r="AB42">
        <v>2.7</v>
      </c>
      <c r="AC42">
        <v>9.9</v>
      </c>
      <c r="AD42">
        <v>19</v>
      </c>
      <c r="AF42">
        <v>14491.2</v>
      </c>
      <c r="AG42">
        <v>1000.4</v>
      </c>
      <c r="AH42">
        <v>16.399999999999999</v>
      </c>
      <c r="AI42">
        <v>730.8</v>
      </c>
      <c r="AJ42">
        <v>1164.4000000000001</v>
      </c>
      <c r="AK42">
        <v>70.099999999999994</v>
      </c>
      <c r="AL42">
        <v>15.6</v>
      </c>
      <c r="AM42">
        <v>41.3</v>
      </c>
      <c r="AN42">
        <v>237.5</v>
      </c>
      <c r="AP42">
        <v>64.900000000000006</v>
      </c>
      <c r="AQ42">
        <v>65.7</v>
      </c>
      <c r="AR42">
        <v>168.6</v>
      </c>
      <c r="AS42">
        <v>92.5</v>
      </c>
    </row>
    <row r="43" spans="1:45" x14ac:dyDescent="0.25">
      <c r="A43" t="s">
        <v>170</v>
      </c>
      <c r="B43" t="s">
        <v>171</v>
      </c>
      <c r="C43">
        <v>36.114922</v>
      </c>
      <c r="D43">
        <v>-94.558491000000004</v>
      </c>
      <c r="E43" t="s">
        <v>172</v>
      </c>
      <c r="F43">
        <v>10</v>
      </c>
      <c r="G43" t="s">
        <v>76</v>
      </c>
      <c r="H43">
        <v>4</v>
      </c>
      <c r="I43">
        <v>279.3</v>
      </c>
      <c r="K43">
        <v>14.8</v>
      </c>
      <c r="L43">
        <v>13.6</v>
      </c>
      <c r="M43">
        <v>71.599999999999994</v>
      </c>
      <c r="O43">
        <v>38.1</v>
      </c>
      <c r="P43">
        <v>2.8</v>
      </c>
      <c r="Q43">
        <v>3.6</v>
      </c>
      <c r="R43">
        <v>3.6</v>
      </c>
      <c r="T43">
        <v>9.8000000000000007</v>
      </c>
      <c r="U43">
        <v>16.100000000000001</v>
      </c>
      <c r="V43">
        <v>250.5</v>
      </c>
      <c r="W43">
        <v>0.2</v>
      </c>
      <c r="X43">
        <v>5971.6</v>
      </c>
      <c r="Y43">
        <v>4.7</v>
      </c>
      <c r="Z43">
        <v>103.6</v>
      </c>
      <c r="AA43">
        <v>2723.7</v>
      </c>
      <c r="AB43">
        <v>2.4</v>
      </c>
      <c r="AC43">
        <v>9.1</v>
      </c>
      <c r="AD43">
        <v>16.100000000000001</v>
      </c>
      <c r="AE43">
        <v>10.6</v>
      </c>
      <c r="AF43">
        <v>13358.2</v>
      </c>
      <c r="AG43">
        <v>761.9</v>
      </c>
      <c r="AH43">
        <v>10.5</v>
      </c>
      <c r="AI43">
        <v>569.29999999999995</v>
      </c>
      <c r="AJ43">
        <v>786.7</v>
      </c>
      <c r="AK43">
        <v>59.1</v>
      </c>
      <c r="AL43">
        <v>13.3</v>
      </c>
      <c r="AM43">
        <v>39.5</v>
      </c>
      <c r="AN43">
        <v>139.30000000000001</v>
      </c>
      <c r="AP43">
        <v>58.2</v>
      </c>
      <c r="AQ43">
        <v>55.5</v>
      </c>
      <c r="AR43">
        <v>197.8</v>
      </c>
      <c r="AS43">
        <v>109.1</v>
      </c>
    </row>
    <row r="44" spans="1:45" x14ac:dyDescent="0.25">
      <c r="A44" t="s">
        <v>173</v>
      </c>
      <c r="B44" t="s">
        <v>174</v>
      </c>
      <c r="C44">
        <v>36.113821000000002</v>
      </c>
      <c r="D44">
        <v>-94.556967999999998</v>
      </c>
      <c r="E44" t="s">
        <v>175</v>
      </c>
      <c r="F44">
        <v>10</v>
      </c>
      <c r="G44" t="s">
        <v>76</v>
      </c>
      <c r="H44">
        <v>4</v>
      </c>
      <c r="I44">
        <v>279.8</v>
      </c>
      <c r="K44">
        <v>11.1</v>
      </c>
      <c r="L44">
        <v>13.6</v>
      </c>
      <c r="M44">
        <v>75.3</v>
      </c>
      <c r="O44">
        <v>34.9</v>
      </c>
      <c r="P44">
        <v>2.2000000000000002</v>
      </c>
      <c r="Q44">
        <v>2</v>
      </c>
      <c r="R44">
        <v>1.7</v>
      </c>
      <c r="S44">
        <v>30.1</v>
      </c>
      <c r="T44">
        <v>6.1</v>
      </c>
      <c r="U44">
        <v>9.4</v>
      </c>
      <c r="V44">
        <v>169.4</v>
      </c>
      <c r="W44">
        <v>0.2</v>
      </c>
      <c r="X44">
        <v>6470.2</v>
      </c>
      <c r="Y44">
        <v>4.5</v>
      </c>
      <c r="Z44">
        <v>115.9</v>
      </c>
      <c r="AA44">
        <v>3133.8</v>
      </c>
      <c r="AB44">
        <v>2.4</v>
      </c>
      <c r="AC44">
        <v>9.6999999999999993</v>
      </c>
      <c r="AD44">
        <v>16.600000000000001</v>
      </c>
      <c r="AE44">
        <v>10.7</v>
      </c>
      <c r="AF44">
        <v>12928.3</v>
      </c>
      <c r="AG44">
        <v>798.8</v>
      </c>
      <c r="AH44">
        <v>11.8</v>
      </c>
      <c r="AI44">
        <v>618.4</v>
      </c>
      <c r="AJ44">
        <v>934.4</v>
      </c>
      <c r="AK44">
        <v>57.3</v>
      </c>
      <c r="AL44">
        <v>13.9</v>
      </c>
      <c r="AM44">
        <v>40.299999999999997</v>
      </c>
      <c r="AN44">
        <v>184.3</v>
      </c>
      <c r="AP44">
        <v>57.9</v>
      </c>
      <c r="AQ44">
        <v>54.3</v>
      </c>
      <c r="AR44">
        <v>138.9</v>
      </c>
      <c r="AS44">
        <v>75.900000000000006</v>
      </c>
    </row>
    <row r="45" spans="1:45" x14ac:dyDescent="0.25">
      <c r="A45" t="s">
        <v>176</v>
      </c>
      <c r="B45" t="s">
        <v>177</v>
      </c>
      <c r="C45">
        <v>36.112538000000001</v>
      </c>
      <c r="D45">
        <v>-94.557922000000005</v>
      </c>
      <c r="E45" t="s">
        <v>178</v>
      </c>
      <c r="F45">
        <v>10</v>
      </c>
      <c r="G45" t="s">
        <v>76</v>
      </c>
      <c r="H45">
        <v>4</v>
      </c>
      <c r="I45">
        <v>280.7</v>
      </c>
      <c r="K45">
        <v>12.4</v>
      </c>
      <c r="L45">
        <v>13.6</v>
      </c>
      <c r="M45">
        <v>74</v>
      </c>
      <c r="O45">
        <v>39.1</v>
      </c>
      <c r="P45">
        <v>2.8</v>
      </c>
      <c r="Q45">
        <v>2.2000000000000002</v>
      </c>
      <c r="R45">
        <v>1.4</v>
      </c>
      <c r="T45">
        <v>3.7</v>
      </c>
      <c r="U45">
        <v>0.7</v>
      </c>
      <c r="V45">
        <v>143.6</v>
      </c>
      <c r="W45">
        <v>0.2</v>
      </c>
      <c r="X45">
        <v>5924.7</v>
      </c>
      <c r="Y45">
        <v>4.8</v>
      </c>
      <c r="Z45">
        <v>116.2</v>
      </c>
      <c r="AA45">
        <v>2662.3</v>
      </c>
      <c r="AB45">
        <v>2.5</v>
      </c>
      <c r="AC45">
        <v>9.8000000000000007</v>
      </c>
      <c r="AD45">
        <v>16.600000000000001</v>
      </c>
      <c r="AE45">
        <v>11</v>
      </c>
      <c r="AF45">
        <v>13697.5</v>
      </c>
      <c r="AG45">
        <v>670.6</v>
      </c>
      <c r="AH45">
        <v>9.1999999999999993</v>
      </c>
      <c r="AI45">
        <v>565.6</v>
      </c>
      <c r="AJ45">
        <v>1191.2</v>
      </c>
      <c r="AK45">
        <v>56.2</v>
      </c>
      <c r="AL45">
        <v>12.8</v>
      </c>
      <c r="AM45">
        <v>45</v>
      </c>
      <c r="AN45">
        <v>136.1</v>
      </c>
      <c r="AP45">
        <v>52.8</v>
      </c>
      <c r="AQ45">
        <v>54.4</v>
      </c>
      <c r="AR45">
        <v>191.4</v>
      </c>
      <c r="AS45">
        <v>105.4</v>
      </c>
    </row>
    <row r="46" spans="1:45" x14ac:dyDescent="0.25">
      <c r="A46" t="s">
        <v>179</v>
      </c>
      <c r="B46" t="s">
        <v>180</v>
      </c>
      <c r="C46">
        <v>36.112955999999997</v>
      </c>
      <c r="D46">
        <v>-94.559434999999993</v>
      </c>
      <c r="E46" t="s">
        <v>181</v>
      </c>
      <c r="F46">
        <v>10</v>
      </c>
      <c r="G46" t="s">
        <v>76</v>
      </c>
      <c r="H46">
        <v>4</v>
      </c>
      <c r="I46">
        <v>280.60000000000002</v>
      </c>
      <c r="K46">
        <v>42.5</v>
      </c>
      <c r="L46">
        <v>6.2</v>
      </c>
      <c r="M46">
        <v>51.2</v>
      </c>
      <c r="O46">
        <v>38</v>
      </c>
      <c r="P46">
        <v>5.5</v>
      </c>
      <c r="Q46">
        <v>3.4</v>
      </c>
      <c r="R46">
        <v>2.6</v>
      </c>
      <c r="S46">
        <v>34.799999999999997</v>
      </c>
      <c r="T46">
        <v>6.9</v>
      </c>
      <c r="U46">
        <v>4.5</v>
      </c>
      <c r="V46">
        <v>178.5</v>
      </c>
      <c r="W46">
        <v>0.2</v>
      </c>
      <c r="X46">
        <v>6751.4</v>
      </c>
      <c r="Y46">
        <v>4.3</v>
      </c>
      <c r="Z46">
        <v>100.5</v>
      </c>
      <c r="AA46">
        <v>2842.1</v>
      </c>
      <c r="AB46">
        <v>2.1</v>
      </c>
      <c r="AC46">
        <v>7.8</v>
      </c>
      <c r="AD46">
        <v>17.100000000000001</v>
      </c>
      <c r="AE46">
        <v>11</v>
      </c>
      <c r="AF46">
        <v>11324.9</v>
      </c>
      <c r="AG46">
        <v>859.6</v>
      </c>
      <c r="AH46">
        <v>12.9</v>
      </c>
      <c r="AI46">
        <v>635.9</v>
      </c>
      <c r="AJ46">
        <v>769.2</v>
      </c>
      <c r="AK46">
        <v>60.2</v>
      </c>
      <c r="AL46">
        <v>12.5</v>
      </c>
      <c r="AM46">
        <v>34.9</v>
      </c>
      <c r="AN46">
        <v>175.2</v>
      </c>
      <c r="AP46">
        <v>48.8</v>
      </c>
      <c r="AQ46">
        <v>52.1</v>
      </c>
      <c r="AR46">
        <v>166.8</v>
      </c>
      <c r="AS46">
        <v>91.5</v>
      </c>
    </row>
    <row r="47" spans="1:45" x14ac:dyDescent="0.25">
      <c r="A47" t="s">
        <v>182</v>
      </c>
      <c r="B47" t="s">
        <v>183</v>
      </c>
      <c r="C47">
        <v>36.110419999999998</v>
      </c>
      <c r="D47">
        <v>-94.5565</v>
      </c>
      <c r="E47" t="s">
        <v>184</v>
      </c>
      <c r="F47">
        <v>10</v>
      </c>
      <c r="G47" t="s">
        <v>76</v>
      </c>
      <c r="H47">
        <v>4</v>
      </c>
      <c r="I47">
        <v>279.10000000000002</v>
      </c>
      <c r="K47">
        <v>12.4</v>
      </c>
      <c r="L47">
        <v>14.8</v>
      </c>
      <c r="M47">
        <v>72.8</v>
      </c>
      <c r="O47">
        <v>30.5</v>
      </c>
      <c r="P47">
        <v>1.3</v>
      </c>
      <c r="Q47">
        <v>1.9</v>
      </c>
      <c r="R47">
        <v>1.8</v>
      </c>
      <c r="U47">
        <v>4.8</v>
      </c>
      <c r="V47">
        <v>114</v>
      </c>
      <c r="X47">
        <v>3619.8</v>
      </c>
      <c r="Z47">
        <v>75.5</v>
      </c>
      <c r="AA47">
        <v>3071.1</v>
      </c>
      <c r="AB47">
        <v>0.9</v>
      </c>
      <c r="AC47">
        <v>6.1</v>
      </c>
      <c r="AD47">
        <v>10.4</v>
      </c>
      <c r="AE47">
        <v>6.4</v>
      </c>
      <c r="AF47">
        <v>9760.1</v>
      </c>
      <c r="AG47">
        <v>611.79999999999995</v>
      </c>
      <c r="AH47">
        <v>5.0999999999999996</v>
      </c>
      <c r="AI47">
        <v>367.8</v>
      </c>
      <c r="AJ47">
        <v>654</v>
      </c>
      <c r="AK47">
        <v>15.5</v>
      </c>
      <c r="AL47">
        <v>8.8000000000000007</v>
      </c>
      <c r="AM47">
        <v>23.3</v>
      </c>
      <c r="AN47">
        <v>193.9</v>
      </c>
      <c r="AP47">
        <v>31</v>
      </c>
      <c r="AQ47">
        <v>33.4</v>
      </c>
      <c r="AR47">
        <v>121</v>
      </c>
      <c r="AS47">
        <v>65.8</v>
      </c>
    </row>
    <row r="48" spans="1:45" x14ac:dyDescent="0.25">
      <c r="A48" t="s">
        <v>185</v>
      </c>
      <c r="B48" t="s">
        <v>186</v>
      </c>
      <c r="C48">
        <v>36.113047999999999</v>
      </c>
      <c r="D48">
        <v>-94.554764000000006</v>
      </c>
      <c r="E48" t="s">
        <v>187</v>
      </c>
      <c r="F48">
        <v>10</v>
      </c>
      <c r="G48" t="s">
        <v>76</v>
      </c>
      <c r="H48">
        <v>4</v>
      </c>
      <c r="I48">
        <v>279.10000000000002</v>
      </c>
      <c r="K48">
        <v>11.1</v>
      </c>
      <c r="L48">
        <v>13.6</v>
      </c>
      <c r="M48">
        <v>75.3</v>
      </c>
      <c r="Q48">
        <v>2.8</v>
      </c>
      <c r="R48">
        <v>3.1</v>
      </c>
      <c r="U48">
        <v>7.8</v>
      </c>
      <c r="V48">
        <v>193.7</v>
      </c>
      <c r="X48">
        <v>4175.2</v>
      </c>
      <c r="Z48">
        <v>95.5</v>
      </c>
      <c r="AA48">
        <v>4016.6</v>
      </c>
      <c r="AC48">
        <v>7.4</v>
      </c>
      <c r="AD48">
        <v>11.4</v>
      </c>
      <c r="AE48">
        <v>8.1999999999999993</v>
      </c>
      <c r="AF48">
        <v>11884.8</v>
      </c>
      <c r="AG48">
        <v>690.7</v>
      </c>
      <c r="AH48">
        <v>5.9</v>
      </c>
      <c r="AI48">
        <v>447.5</v>
      </c>
      <c r="AJ48">
        <v>813.8</v>
      </c>
      <c r="AK48">
        <v>20.6</v>
      </c>
      <c r="AL48">
        <v>10.199999999999999</v>
      </c>
      <c r="AM48">
        <v>28.3</v>
      </c>
      <c r="AN48">
        <v>807.4</v>
      </c>
      <c r="AP48">
        <v>34.1</v>
      </c>
      <c r="AQ48">
        <v>41.3</v>
      </c>
      <c r="AR48">
        <v>151.19999999999999</v>
      </c>
      <c r="AS48">
        <v>82.7</v>
      </c>
    </row>
    <row r="49" spans="1:45" x14ac:dyDescent="0.25">
      <c r="A49" t="s">
        <v>188</v>
      </c>
      <c r="B49" t="s">
        <v>189</v>
      </c>
      <c r="C49">
        <v>36.111913000000001</v>
      </c>
      <c r="D49">
        <v>-94.555339000000004</v>
      </c>
      <c r="E49" t="s">
        <v>190</v>
      </c>
      <c r="F49">
        <v>10</v>
      </c>
      <c r="G49" t="s">
        <v>76</v>
      </c>
      <c r="H49">
        <v>4</v>
      </c>
      <c r="I49">
        <v>279.39999999999998</v>
      </c>
      <c r="K49">
        <v>22.5</v>
      </c>
      <c r="L49">
        <v>7.5</v>
      </c>
      <c r="M49">
        <v>70</v>
      </c>
      <c r="Q49">
        <v>2.5</v>
      </c>
      <c r="R49">
        <v>2.4</v>
      </c>
      <c r="U49">
        <v>4.4000000000000004</v>
      </c>
      <c r="V49">
        <v>175.5</v>
      </c>
      <c r="X49">
        <v>3679.7</v>
      </c>
      <c r="Z49">
        <v>86.8</v>
      </c>
      <c r="AA49">
        <v>3128.2</v>
      </c>
      <c r="AB49">
        <v>1</v>
      </c>
      <c r="AC49">
        <v>6.9</v>
      </c>
      <c r="AD49">
        <v>10.4</v>
      </c>
      <c r="AE49">
        <v>7.5</v>
      </c>
      <c r="AF49">
        <v>10928.3</v>
      </c>
      <c r="AG49">
        <v>598.6</v>
      </c>
      <c r="AH49">
        <v>5</v>
      </c>
      <c r="AI49">
        <v>391.6</v>
      </c>
      <c r="AJ49">
        <v>761.6</v>
      </c>
      <c r="AK49">
        <v>27.8</v>
      </c>
      <c r="AL49">
        <v>9</v>
      </c>
      <c r="AM49">
        <v>26.1</v>
      </c>
      <c r="AN49">
        <v>250.1</v>
      </c>
      <c r="AP49">
        <v>31.8</v>
      </c>
      <c r="AQ49">
        <v>37.200000000000003</v>
      </c>
      <c r="AR49">
        <v>161.19999999999999</v>
      </c>
      <c r="AS49">
        <v>88.3</v>
      </c>
    </row>
    <row r="50" spans="1:45" x14ac:dyDescent="0.25">
      <c r="A50" t="s">
        <v>191</v>
      </c>
      <c r="B50" t="s">
        <v>192</v>
      </c>
      <c r="C50">
        <v>36.110770000000002</v>
      </c>
      <c r="D50">
        <v>-94.556259999999995</v>
      </c>
      <c r="E50" t="s">
        <v>193</v>
      </c>
      <c r="F50">
        <v>10</v>
      </c>
      <c r="G50" t="s">
        <v>76</v>
      </c>
      <c r="H50">
        <v>4</v>
      </c>
      <c r="I50">
        <v>279.60000000000002</v>
      </c>
      <c r="K50">
        <v>22.4</v>
      </c>
      <c r="L50">
        <v>11.1</v>
      </c>
      <c r="M50">
        <v>66.5</v>
      </c>
      <c r="Q50">
        <v>2.8</v>
      </c>
      <c r="R50">
        <v>3</v>
      </c>
      <c r="U50">
        <v>9.3000000000000007</v>
      </c>
      <c r="V50">
        <v>187.2</v>
      </c>
      <c r="X50">
        <v>3578.4</v>
      </c>
      <c r="Z50">
        <v>81.900000000000006</v>
      </c>
      <c r="AA50">
        <v>3099.9</v>
      </c>
      <c r="AB50">
        <v>1</v>
      </c>
      <c r="AC50">
        <v>6.9</v>
      </c>
      <c r="AD50">
        <v>10.9</v>
      </c>
      <c r="AE50">
        <v>7.3</v>
      </c>
      <c r="AF50">
        <v>10482</v>
      </c>
      <c r="AG50">
        <v>722.1</v>
      </c>
      <c r="AH50">
        <v>4.9000000000000004</v>
      </c>
      <c r="AI50">
        <v>397</v>
      </c>
      <c r="AJ50">
        <v>725.6</v>
      </c>
      <c r="AK50">
        <v>17.5</v>
      </c>
      <c r="AL50">
        <v>9.1999999999999993</v>
      </c>
      <c r="AM50">
        <v>24.1</v>
      </c>
      <c r="AN50">
        <v>238.6</v>
      </c>
      <c r="AP50">
        <v>29.1</v>
      </c>
      <c r="AQ50">
        <v>38.4</v>
      </c>
      <c r="AR50">
        <v>110.8</v>
      </c>
      <c r="AS50">
        <v>60.2</v>
      </c>
    </row>
    <row r="51" spans="1:45" x14ac:dyDescent="0.25">
      <c r="A51" t="s">
        <v>237</v>
      </c>
      <c r="B51" t="s">
        <v>194</v>
      </c>
      <c r="C51">
        <v>36.115519999999997</v>
      </c>
      <c r="D51">
        <v>-94.559600000000003</v>
      </c>
      <c r="E51" t="s">
        <v>195</v>
      </c>
      <c r="F51">
        <v>5</v>
      </c>
      <c r="G51" t="s">
        <v>76</v>
      </c>
      <c r="H51">
        <v>4</v>
      </c>
      <c r="I51">
        <v>279.60000000000002</v>
      </c>
      <c r="K51" s="2">
        <v>12.377642245000001</v>
      </c>
      <c r="L51" s="2">
        <v>11.09015759</v>
      </c>
      <c r="M51" s="2">
        <v>76.532200165000006</v>
      </c>
      <c r="N51" s="2"/>
      <c r="O51" s="2">
        <v>33.85</v>
      </c>
      <c r="P51" s="2">
        <v>2.4</v>
      </c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>
        <v>153.5</v>
      </c>
      <c r="AS51" s="2">
        <v>84</v>
      </c>
    </row>
    <row r="52" spans="1:45" x14ac:dyDescent="0.25">
      <c r="A52" t="s">
        <v>238</v>
      </c>
      <c r="B52" t="s">
        <v>196</v>
      </c>
      <c r="C52">
        <v>36.114629999999998</v>
      </c>
      <c r="D52">
        <v>-94.560479999999998</v>
      </c>
      <c r="E52" t="s">
        <v>197</v>
      </c>
      <c r="F52">
        <v>5</v>
      </c>
      <c r="G52" t="s">
        <v>76</v>
      </c>
      <c r="H52">
        <v>4</v>
      </c>
      <c r="I52">
        <v>279.5</v>
      </c>
      <c r="K52" s="2">
        <v>17.367051320000002</v>
      </c>
      <c r="L52" s="2">
        <v>10.466605994</v>
      </c>
      <c r="M52" s="2">
        <v>72.166342684999989</v>
      </c>
      <c r="N52" s="2"/>
      <c r="O52" s="2">
        <v>64.849999999999994</v>
      </c>
      <c r="P52" s="2">
        <v>2.35</v>
      </c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>
        <v>149.19999999999999</v>
      </c>
      <c r="AS52" s="2">
        <v>81.550000000000011</v>
      </c>
    </row>
    <row r="53" spans="1:45" x14ac:dyDescent="0.25">
      <c r="A53" t="s">
        <v>239</v>
      </c>
      <c r="B53" t="s">
        <v>198</v>
      </c>
      <c r="C53">
        <v>36.114159999999998</v>
      </c>
      <c r="D53">
        <v>-94.561660000000003</v>
      </c>
      <c r="E53" t="s">
        <v>199</v>
      </c>
      <c r="F53">
        <v>5</v>
      </c>
      <c r="G53" t="s">
        <v>76</v>
      </c>
      <c r="H53">
        <v>3</v>
      </c>
      <c r="I53">
        <v>279.5</v>
      </c>
      <c r="K53" s="2">
        <v>11.0997461085</v>
      </c>
      <c r="L53" s="2">
        <v>11.718415674999999</v>
      </c>
      <c r="M53" s="2">
        <v>77.181838214999999</v>
      </c>
      <c r="N53" s="2"/>
      <c r="O53" s="2">
        <v>34.35</v>
      </c>
      <c r="P53" s="2">
        <v>2.25</v>
      </c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>
        <v>182.5</v>
      </c>
      <c r="AS53" s="2">
        <v>100.35</v>
      </c>
    </row>
    <row r="54" spans="1:45" x14ac:dyDescent="0.25">
      <c r="A54" t="s">
        <v>240</v>
      </c>
      <c r="B54" t="s">
        <v>200</v>
      </c>
      <c r="C54">
        <v>36.11233</v>
      </c>
      <c r="D54">
        <v>-94.562200000000004</v>
      </c>
      <c r="E54" t="s">
        <v>201</v>
      </c>
      <c r="F54">
        <v>5</v>
      </c>
      <c r="G54" t="s">
        <v>76</v>
      </c>
      <c r="H54">
        <v>2</v>
      </c>
      <c r="I54">
        <v>279.7</v>
      </c>
      <c r="K54" s="2">
        <v>17.350435064999999</v>
      </c>
      <c r="L54" s="2">
        <v>18.588699325</v>
      </c>
      <c r="M54" s="2">
        <v>64.060865610000008</v>
      </c>
      <c r="N54" s="2"/>
      <c r="O54" s="2">
        <v>34.6</v>
      </c>
      <c r="P54" s="2">
        <v>2.1500000000000004</v>
      </c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>
        <v>349</v>
      </c>
      <c r="AS54" s="2">
        <v>198.3</v>
      </c>
    </row>
    <row r="55" spans="1:45" x14ac:dyDescent="0.25"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EB528-35F3-4DC8-BCE6-AEBD7B8AE67E}">
  <dimension ref="A1:AS22"/>
  <sheetViews>
    <sheetView tabSelected="1" workbookViewId="0">
      <selection activeCell="A2" sqref="A2:XFD5"/>
    </sheetView>
  </sheetViews>
  <sheetFormatPr defaultRowHeight="13.8" x14ac:dyDescent="0.25"/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A2" t="s">
        <v>237</v>
      </c>
      <c r="B2" t="s">
        <v>194</v>
      </c>
      <c r="C2">
        <v>36.115519999999997</v>
      </c>
      <c r="D2">
        <v>-94.559600000000003</v>
      </c>
      <c r="E2" t="s">
        <v>195</v>
      </c>
      <c r="F2">
        <v>5</v>
      </c>
      <c r="G2" t="s">
        <v>76</v>
      </c>
      <c r="H2">
        <v>4</v>
      </c>
      <c r="I2">
        <v>279.60000000000002</v>
      </c>
      <c r="K2">
        <v>12.377642245000001</v>
      </c>
      <c r="L2">
        <v>11.09015759</v>
      </c>
      <c r="M2">
        <v>76.532200165000006</v>
      </c>
      <c r="O2" s="1">
        <v>33.85</v>
      </c>
      <c r="P2" s="1">
        <v>2.4</v>
      </c>
      <c r="AR2">
        <v>153.5</v>
      </c>
      <c r="AS2">
        <v>84</v>
      </c>
    </row>
    <row r="3" spans="1:45" x14ac:dyDescent="0.25">
      <c r="A3" t="s">
        <v>238</v>
      </c>
      <c r="B3" t="s">
        <v>196</v>
      </c>
      <c r="C3">
        <v>36.114629999999998</v>
      </c>
      <c r="D3">
        <v>-94.560479999999998</v>
      </c>
      <c r="E3" t="s">
        <v>197</v>
      </c>
      <c r="F3">
        <v>5</v>
      </c>
      <c r="G3" t="s">
        <v>76</v>
      </c>
      <c r="H3">
        <v>4</v>
      </c>
      <c r="I3">
        <v>279.5</v>
      </c>
      <c r="K3">
        <v>17.367051320000002</v>
      </c>
      <c r="L3">
        <v>10.466605994</v>
      </c>
      <c r="M3">
        <v>72.166342684999989</v>
      </c>
      <c r="O3">
        <v>64.849999999999994</v>
      </c>
      <c r="P3">
        <v>2.35</v>
      </c>
      <c r="AR3">
        <v>149.19999999999999</v>
      </c>
      <c r="AS3">
        <v>81.550000000000011</v>
      </c>
    </row>
    <row r="4" spans="1:45" x14ac:dyDescent="0.25">
      <c r="A4" t="s">
        <v>239</v>
      </c>
      <c r="B4" t="s">
        <v>198</v>
      </c>
      <c r="C4">
        <v>36.114159999999998</v>
      </c>
      <c r="D4">
        <v>-94.561660000000003</v>
      </c>
      <c r="E4" t="s">
        <v>199</v>
      </c>
      <c r="F4">
        <v>5</v>
      </c>
      <c r="G4" t="s">
        <v>76</v>
      </c>
      <c r="H4">
        <v>3</v>
      </c>
      <c r="I4">
        <v>279.5</v>
      </c>
      <c r="K4">
        <v>11.0997461085</v>
      </c>
      <c r="L4">
        <v>11.718415674999999</v>
      </c>
      <c r="M4">
        <v>77.181838214999999</v>
      </c>
      <c r="O4">
        <v>34.35</v>
      </c>
      <c r="P4">
        <v>2.25</v>
      </c>
      <c r="AR4">
        <v>182.5</v>
      </c>
      <c r="AS4">
        <v>100.35</v>
      </c>
    </row>
    <row r="5" spans="1:45" x14ac:dyDescent="0.25">
      <c r="A5" t="s">
        <v>240</v>
      </c>
      <c r="B5" t="s">
        <v>200</v>
      </c>
      <c r="C5">
        <v>36.11233</v>
      </c>
      <c r="D5">
        <v>-94.562200000000004</v>
      </c>
      <c r="E5" t="s">
        <v>201</v>
      </c>
      <c r="F5">
        <v>5</v>
      </c>
      <c r="G5" t="s">
        <v>76</v>
      </c>
      <c r="H5">
        <v>2</v>
      </c>
      <c r="I5">
        <v>279.7</v>
      </c>
      <c r="K5">
        <v>17.350435064999999</v>
      </c>
      <c r="L5">
        <v>18.588699325</v>
      </c>
      <c r="M5">
        <v>64.060865610000008</v>
      </c>
      <c r="O5">
        <v>34.6</v>
      </c>
      <c r="P5">
        <v>2.1500000000000004</v>
      </c>
      <c r="AR5">
        <v>349</v>
      </c>
      <c r="AS5">
        <v>198.3</v>
      </c>
    </row>
    <row r="10" spans="1:45" x14ac:dyDescent="0.25">
      <c r="A10" t="s">
        <v>4</v>
      </c>
      <c r="F10" t="s">
        <v>206</v>
      </c>
      <c r="G10" t="s">
        <v>6</v>
      </c>
      <c r="H10" t="s">
        <v>207</v>
      </c>
      <c r="I10" t="s">
        <v>208</v>
      </c>
      <c r="K10" t="s">
        <v>209</v>
      </c>
      <c r="L10" t="s">
        <v>210</v>
      </c>
      <c r="M10" t="s">
        <v>211</v>
      </c>
      <c r="N10" t="s">
        <v>212</v>
      </c>
      <c r="O10" t="s">
        <v>14</v>
      </c>
      <c r="P10" t="s">
        <v>15</v>
      </c>
      <c r="Q10" t="s">
        <v>213</v>
      </c>
      <c r="R10" t="s">
        <v>18</v>
      </c>
      <c r="S10" t="s">
        <v>214</v>
      </c>
      <c r="T10" t="s">
        <v>215</v>
      </c>
      <c r="U10" t="s">
        <v>21</v>
      </c>
      <c r="V10" t="s">
        <v>216</v>
      </c>
      <c r="W10" t="s">
        <v>217</v>
      </c>
      <c r="X10" t="s">
        <v>218</v>
      </c>
      <c r="Y10" t="s">
        <v>219</v>
      </c>
      <c r="Z10" t="s">
        <v>220</v>
      </c>
      <c r="AA10" t="s">
        <v>221</v>
      </c>
      <c r="AB10" t="s">
        <v>222</v>
      </c>
      <c r="AC10" t="s">
        <v>223</v>
      </c>
      <c r="AD10" t="s">
        <v>224</v>
      </c>
      <c r="AE10" t="s">
        <v>225</v>
      </c>
      <c r="AF10" t="s">
        <v>226</v>
      </c>
      <c r="AG10" t="s">
        <v>227</v>
      </c>
      <c r="AH10" t="s">
        <v>228</v>
      </c>
      <c r="AI10" t="s">
        <v>229</v>
      </c>
      <c r="AJ10" t="s">
        <v>230</v>
      </c>
      <c r="AK10" t="s">
        <v>231</v>
      </c>
      <c r="AL10" t="s">
        <v>232</v>
      </c>
      <c r="AM10" t="s">
        <v>233</v>
      </c>
      <c r="AN10" t="s">
        <v>234</v>
      </c>
      <c r="AO10" t="s">
        <v>235</v>
      </c>
      <c r="AP10" t="s">
        <v>236</v>
      </c>
      <c r="AR10" t="s">
        <v>43</v>
      </c>
      <c r="AS10" t="s">
        <v>44</v>
      </c>
    </row>
    <row r="11" spans="1:45" x14ac:dyDescent="0.25">
      <c r="A11" t="s">
        <v>195</v>
      </c>
      <c r="F11">
        <v>5</v>
      </c>
      <c r="G11" t="s">
        <v>76</v>
      </c>
      <c r="H11">
        <v>4</v>
      </c>
      <c r="I11">
        <v>279.57</v>
      </c>
      <c r="K11">
        <v>11.120215030000001</v>
      </c>
      <c r="L11">
        <v>11.091237919999999</v>
      </c>
      <c r="M11">
        <v>77.788547050000005</v>
      </c>
      <c r="O11">
        <v>36.9</v>
      </c>
      <c r="P11">
        <v>2.4</v>
      </c>
      <c r="AR11">
        <v>173</v>
      </c>
      <c r="AS11">
        <v>95</v>
      </c>
    </row>
    <row r="12" spans="1:45" x14ac:dyDescent="0.25">
      <c r="A12" t="s">
        <v>202</v>
      </c>
      <c r="F12">
        <v>10</v>
      </c>
      <c r="G12" t="s">
        <v>76</v>
      </c>
      <c r="H12">
        <v>4</v>
      </c>
      <c r="I12">
        <v>279.57</v>
      </c>
      <c r="K12">
        <v>13.63506946</v>
      </c>
      <c r="L12">
        <v>11.08907726</v>
      </c>
      <c r="M12">
        <v>75.275853280000007</v>
      </c>
      <c r="O12">
        <v>30.8</v>
      </c>
      <c r="P12">
        <v>2.4</v>
      </c>
      <c r="AR12">
        <v>134</v>
      </c>
      <c r="AS12">
        <v>73</v>
      </c>
    </row>
    <row r="13" spans="1:45" s="1" customFormat="1" x14ac:dyDescent="0.25">
      <c r="K13" s="1">
        <f>AVERAGE(K11:K12)</f>
        <v>12.377642245000001</v>
      </c>
      <c r="L13" s="1">
        <f t="shared" ref="L13:P13" si="0">AVERAGE(L11:L12)</f>
        <v>11.09015759</v>
      </c>
      <c r="M13" s="1">
        <f t="shared" si="0"/>
        <v>76.532200165000006</v>
      </c>
      <c r="O13" s="1">
        <f t="shared" si="0"/>
        <v>33.85</v>
      </c>
      <c r="P13" s="1">
        <f t="shared" si="0"/>
        <v>2.4</v>
      </c>
      <c r="AR13" s="1">
        <f t="shared" ref="AR13:AS13" si="1">AVERAGE(AR11:AR12)</f>
        <v>153.5</v>
      </c>
      <c r="AS13" s="1">
        <f t="shared" si="1"/>
        <v>84</v>
      </c>
    </row>
    <row r="14" spans="1:45" x14ac:dyDescent="0.25">
      <c r="A14" t="s">
        <v>197</v>
      </c>
      <c r="F14">
        <v>5</v>
      </c>
      <c r="G14" t="s">
        <v>76</v>
      </c>
      <c r="H14">
        <v>4</v>
      </c>
      <c r="I14">
        <v>279.49</v>
      </c>
      <c r="K14">
        <v>19.891523930000002</v>
      </c>
      <c r="L14">
        <v>9.8387592179999999</v>
      </c>
      <c r="M14">
        <v>70.269716849999995</v>
      </c>
      <c r="O14">
        <v>49.2</v>
      </c>
      <c r="P14">
        <v>2.7</v>
      </c>
      <c r="AR14">
        <v>140</v>
      </c>
      <c r="AS14">
        <v>76.400000000000006</v>
      </c>
    </row>
    <row r="15" spans="1:45" x14ac:dyDescent="0.25">
      <c r="A15" t="s">
        <v>203</v>
      </c>
      <c r="F15">
        <v>10</v>
      </c>
      <c r="G15" t="s">
        <v>76</v>
      </c>
      <c r="H15">
        <v>4</v>
      </c>
      <c r="I15">
        <v>279.49</v>
      </c>
      <c r="K15">
        <v>14.84257871</v>
      </c>
      <c r="L15">
        <v>11.09445277</v>
      </c>
      <c r="M15">
        <v>74.062968519999998</v>
      </c>
      <c r="O15">
        <v>80.5</v>
      </c>
      <c r="P15">
        <v>2</v>
      </c>
      <c r="AR15">
        <v>158.4</v>
      </c>
      <c r="AS15">
        <v>86.7</v>
      </c>
    </row>
    <row r="16" spans="1:45" s="1" customFormat="1" x14ac:dyDescent="0.25">
      <c r="K16" s="1">
        <f>AVERAGE(K14:K15)</f>
        <v>17.367051320000002</v>
      </c>
      <c r="L16" s="1">
        <f t="shared" ref="L16" si="2">AVERAGE(L14:L15)</f>
        <v>10.466605994</v>
      </c>
      <c r="M16" s="1">
        <f t="shared" ref="M16" si="3">AVERAGE(M14:M15)</f>
        <v>72.166342684999989</v>
      </c>
      <c r="O16" s="1">
        <f t="shared" ref="O16" si="4">AVERAGE(O14:O15)</f>
        <v>64.849999999999994</v>
      </c>
      <c r="P16" s="1">
        <f t="shared" ref="P16" si="5">AVERAGE(P14:P15)</f>
        <v>2.35</v>
      </c>
      <c r="AR16" s="1">
        <f t="shared" ref="AR16" si="6">AVERAGE(AR14:AR15)</f>
        <v>149.19999999999999</v>
      </c>
      <c r="AS16" s="1">
        <f t="shared" ref="AS16" si="7">AVERAGE(AS14:AS15)</f>
        <v>81.550000000000011</v>
      </c>
    </row>
    <row r="17" spans="1:45" x14ac:dyDescent="0.25">
      <c r="A17" t="s">
        <v>199</v>
      </c>
      <c r="F17">
        <v>5</v>
      </c>
      <c r="G17" t="s">
        <v>76</v>
      </c>
      <c r="H17">
        <v>3</v>
      </c>
      <c r="I17">
        <v>279.5</v>
      </c>
      <c r="K17">
        <v>9.8556641270000007</v>
      </c>
      <c r="L17">
        <v>12.34237858</v>
      </c>
      <c r="M17">
        <v>77.801957290000004</v>
      </c>
      <c r="O17">
        <v>37.200000000000003</v>
      </c>
      <c r="P17">
        <v>2.7</v>
      </c>
      <c r="AR17">
        <v>176.4</v>
      </c>
      <c r="AS17">
        <v>96.9</v>
      </c>
    </row>
    <row r="18" spans="1:45" x14ac:dyDescent="0.25">
      <c r="A18" t="s">
        <v>204</v>
      </c>
      <c r="F18">
        <v>10</v>
      </c>
      <c r="G18" t="s">
        <v>76</v>
      </c>
      <c r="H18">
        <v>3</v>
      </c>
      <c r="I18">
        <v>279.5</v>
      </c>
      <c r="K18">
        <v>12.343828090000001</v>
      </c>
      <c r="L18">
        <v>11.09445277</v>
      </c>
      <c r="M18">
        <v>76.561719139999994</v>
      </c>
      <c r="O18">
        <v>31.5</v>
      </c>
      <c r="P18">
        <v>1.8</v>
      </c>
      <c r="AR18">
        <v>188.6</v>
      </c>
      <c r="AS18">
        <v>103.8</v>
      </c>
    </row>
    <row r="19" spans="1:45" s="1" customFormat="1" x14ac:dyDescent="0.25">
      <c r="K19" s="1">
        <f>AVERAGE(K17:K18)</f>
        <v>11.0997461085</v>
      </c>
      <c r="L19" s="1">
        <f t="shared" ref="L19" si="8">AVERAGE(L17:L18)</f>
        <v>11.718415674999999</v>
      </c>
      <c r="M19" s="1">
        <f t="shared" ref="M19" si="9">AVERAGE(M17:M18)</f>
        <v>77.181838214999999</v>
      </c>
      <c r="O19" s="1">
        <f t="shared" ref="O19" si="10">AVERAGE(O17:O18)</f>
        <v>34.35</v>
      </c>
      <c r="P19" s="1">
        <f t="shared" ref="P19" si="11">AVERAGE(P17:P18)</f>
        <v>2.25</v>
      </c>
      <c r="AR19" s="1">
        <f t="shared" ref="AR19" si="12">AVERAGE(AR17:AR18)</f>
        <v>182.5</v>
      </c>
      <c r="AS19" s="1">
        <f t="shared" ref="AS19" si="13">AVERAGE(AS17:AS18)</f>
        <v>100.35</v>
      </c>
    </row>
    <row r="20" spans="1:45" x14ac:dyDescent="0.25">
      <c r="A20" t="s">
        <v>201</v>
      </c>
      <c r="F20">
        <v>5</v>
      </c>
      <c r="G20" t="s">
        <v>76</v>
      </c>
      <c r="H20">
        <v>2</v>
      </c>
      <c r="I20">
        <v>279.69</v>
      </c>
      <c r="K20">
        <v>13.59406703</v>
      </c>
      <c r="L20">
        <v>19.83988166</v>
      </c>
      <c r="M20">
        <v>66.566051310000006</v>
      </c>
      <c r="O20">
        <v>36.1</v>
      </c>
      <c r="P20">
        <v>2.1</v>
      </c>
      <c r="AR20">
        <v>363.2</v>
      </c>
      <c r="AS20">
        <v>207</v>
      </c>
    </row>
    <row r="21" spans="1:45" x14ac:dyDescent="0.25">
      <c r="A21" t="s">
        <v>205</v>
      </c>
      <c r="F21">
        <v>10</v>
      </c>
      <c r="G21" t="s">
        <v>76</v>
      </c>
      <c r="H21">
        <v>2</v>
      </c>
      <c r="I21">
        <v>279.69</v>
      </c>
      <c r="K21">
        <v>21.1068031</v>
      </c>
      <c r="L21">
        <v>17.337516990000001</v>
      </c>
      <c r="M21">
        <v>61.555679910000002</v>
      </c>
      <c r="O21">
        <v>33.1</v>
      </c>
      <c r="P21">
        <v>2.2000000000000002</v>
      </c>
      <c r="AR21">
        <v>334.8</v>
      </c>
      <c r="AS21">
        <v>189.6</v>
      </c>
    </row>
    <row r="22" spans="1:45" s="1" customFormat="1" x14ac:dyDescent="0.25">
      <c r="K22" s="1">
        <f>AVERAGE(K20:K21)</f>
        <v>17.350435064999999</v>
      </c>
      <c r="L22" s="1">
        <f t="shared" ref="L22" si="14">AVERAGE(L20:L21)</f>
        <v>18.588699325</v>
      </c>
      <c r="M22" s="1">
        <f t="shared" ref="M22" si="15">AVERAGE(M20:M21)</f>
        <v>64.060865610000008</v>
      </c>
      <c r="O22" s="1">
        <f t="shared" ref="O22" si="16">AVERAGE(O20:O21)</f>
        <v>34.6</v>
      </c>
      <c r="P22" s="1">
        <f t="shared" ref="P22" si="17">AVERAGE(P20:P21)</f>
        <v>2.1500000000000004</v>
      </c>
      <c r="AR22" s="1">
        <f t="shared" ref="AR22" si="18">AVERAGE(AR20:AR21)</f>
        <v>349</v>
      </c>
      <c r="AS22" s="1">
        <f t="shared" ref="AS22" si="19">AVERAGE(AS20:AS21)</f>
        <v>198.3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LF_Soil_10_data 030426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Morgan, Cheyenne M.</cp:lastModifiedBy>
  <dcterms:created xsi:type="dcterms:W3CDTF">2026-03-04T19:34:00Z</dcterms:created>
  <dcterms:modified xsi:type="dcterms:W3CDTF">2026-03-04T19:34:30Z</dcterms:modified>
</cp:coreProperties>
</file>