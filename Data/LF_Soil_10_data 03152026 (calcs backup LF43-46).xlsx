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en\Documents\Modeling\R\RESEARCH\LF_Working\LF Basics\Data\"/>
    </mc:Choice>
  </mc:AlternateContent>
  <xr:revisionPtr revIDLastSave="0" documentId="13_ncr:1_{23266E5D-462F-4349-9707-3C47B231F92E}" xr6:coauthVersionLast="47" xr6:coauthVersionMax="47" xr10:uidLastSave="{00000000-0000-0000-0000-000000000000}"/>
  <bookViews>
    <workbookView xWindow="-108" yWindow="-108" windowWidth="23256" windowHeight="12456" xr2:uid="{757B8611-AA8D-4CCD-B6F3-47DE16145F88}"/>
  </bookViews>
  <sheets>
    <sheet name="LF_Soil_10_data 030426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M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L3" i="2"/>
  <c r="M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L4" i="2"/>
  <c r="M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L5" i="2"/>
  <c r="M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K5" i="2"/>
  <c r="K4" i="2"/>
  <c r="K3" i="2"/>
  <c r="K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K22" i="2"/>
  <c r="O22" i="2" l="1"/>
  <c r="M22" i="2"/>
  <c r="L22" i="2"/>
  <c r="O19" i="2"/>
  <c r="M19" i="2"/>
  <c r="L19" i="2"/>
  <c r="K19" i="2"/>
  <c r="O16" i="2"/>
  <c r="M16" i="2"/>
  <c r="L16" i="2"/>
  <c r="K16" i="2"/>
  <c r="P13" i="2"/>
  <c r="O13" i="2"/>
  <c r="L13" i="2"/>
  <c r="M13" i="2"/>
  <c r="K13" i="2"/>
</calcChain>
</file>

<file path=xl/sharedStrings.xml><?xml version="1.0" encoding="utf-8"?>
<sst xmlns="http://schemas.openxmlformats.org/spreadsheetml/2006/main" count="443" uniqueCount="248">
  <si>
    <t xml:space="preserve">Samp_ID </t>
  </si>
  <si>
    <t>Samp_Loc</t>
  </si>
  <si>
    <t>Latitude</t>
  </si>
  <si>
    <t>Longitude</t>
  </si>
  <si>
    <t>UID</t>
  </si>
  <si>
    <t>Depth</t>
  </si>
  <si>
    <t>Unit</t>
  </si>
  <si>
    <t>Area</t>
  </si>
  <si>
    <t>Elev</t>
  </si>
  <si>
    <t>Soil_Type</t>
  </si>
  <si>
    <t>SandPD</t>
  </si>
  <si>
    <t>ClayPD</t>
  </si>
  <si>
    <t>SiltPD</t>
  </si>
  <si>
    <t>pH_soil</t>
  </si>
  <si>
    <t>SMC</t>
  </si>
  <si>
    <t>LOI</t>
  </si>
  <si>
    <t>WEP_2024</t>
  </si>
  <si>
    <t>WEP_2025</t>
  </si>
  <si>
    <t>WEP100</t>
  </si>
  <si>
    <t>MM3P</t>
  </si>
  <si>
    <t>M3P</t>
  </si>
  <si>
    <t>TP</t>
  </si>
  <si>
    <t>Ag_tot</t>
  </si>
  <si>
    <t>Al_tot</t>
  </si>
  <si>
    <t>As_tot</t>
  </si>
  <si>
    <t>Ba_tot</t>
  </si>
  <si>
    <t>Ca_tot</t>
  </si>
  <si>
    <t>Cd_tot</t>
  </si>
  <si>
    <t>Co_tot</t>
  </si>
  <si>
    <t>Cr_tot</t>
  </si>
  <si>
    <t>Cu_tot</t>
  </si>
  <si>
    <t>Fe_tot</t>
  </si>
  <si>
    <t>K_tot</t>
  </si>
  <si>
    <t>Li_tot</t>
  </si>
  <si>
    <t>Mg_tot</t>
  </si>
  <si>
    <t>Mn_tot</t>
  </si>
  <si>
    <t>Na_tot</t>
  </si>
  <si>
    <t>Ni_tot</t>
  </si>
  <si>
    <t>Pb_tot</t>
  </si>
  <si>
    <t>S_tot</t>
  </si>
  <si>
    <t>Se_tot</t>
  </si>
  <si>
    <t>Si_tot</t>
  </si>
  <si>
    <t>Zn_tot</t>
  </si>
  <si>
    <t>P_sorb</t>
  </si>
  <si>
    <t>PSI</t>
  </si>
  <si>
    <t>LF 1 A 0-0.5</t>
  </si>
  <si>
    <t>LF 1 A</t>
  </si>
  <si>
    <t>1Aa</t>
  </si>
  <si>
    <t>feet</t>
  </si>
  <si>
    <t>LF 1 B 0-0.5</t>
  </si>
  <si>
    <t>LF 1 B</t>
  </si>
  <si>
    <t>1Ba</t>
  </si>
  <si>
    <t>LF 1 C 0-0.5</t>
  </si>
  <si>
    <t>LF 1 C</t>
  </si>
  <si>
    <t>1Ca</t>
  </si>
  <si>
    <t>LF 1 D 0-0.5</t>
  </si>
  <si>
    <t>LF 1 D</t>
  </si>
  <si>
    <t>1Da</t>
  </si>
  <si>
    <t>LF 1 E 0-0.5</t>
  </si>
  <si>
    <t>LF 1 E</t>
  </si>
  <si>
    <t>1Ea</t>
  </si>
  <si>
    <t>LF 2 A 0-0.5</t>
  </si>
  <si>
    <t>LF 2 A</t>
  </si>
  <si>
    <t>2Aa</t>
  </si>
  <si>
    <t>LF 2 B 0-0.5</t>
  </si>
  <si>
    <t>LF 2 B</t>
  </si>
  <si>
    <t>2Ba</t>
  </si>
  <si>
    <t>LF 2 C 0-0.5</t>
  </si>
  <si>
    <t>LF 2 C</t>
  </si>
  <si>
    <t>2Ca</t>
  </si>
  <si>
    <t>LF 2 D 0-0.5</t>
  </si>
  <si>
    <t xml:space="preserve">LF 2 D </t>
  </si>
  <si>
    <t>2Da</t>
  </si>
  <si>
    <t>LF 3 0-10</t>
  </si>
  <si>
    <t xml:space="preserve">LF 3 </t>
  </si>
  <si>
    <t>3a</t>
  </si>
  <si>
    <t>cm</t>
  </si>
  <si>
    <t>LF 4 0-10</t>
  </si>
  <si>
    <t>LF 4</t>
  </si>
  <si>
    <t>4a</t>
  </si>
  <si>
    <t>LF 5 0-10</t>
  </si>
  <si>
    <t>LF 5</t>
  </si>
  <si>
    <t>5a</t>
  </si>
  <si>
    <t>LF 6 0-10</t>
  </si>
  <si>
    <t>LF 6</t>
  </si>
  <si>
    <t>6a</t>
  </si>
  <si>
    <t>LF 7 0-10</t>
  </si>
  <si>
    <t>LF 7</t>
  </si>
  <si>
    <t>7a</t>
  </si>
  <si>
    <t>LF 8 0-10</t>
  </si>
  <si>
    <t>LF 8</t>
  </si>
  <si>
    <t>8a</t>
  </si>
  <si>
    <t>LF 9 0-10</t>
  </si>
  <si>
    <t>LF 9</t>
  </si>
  <si>
    <t>9a</t>
  </si>
  <si>
    <t>LF 10 0-10</t>
  </si>
  <si>
    <t>LF 10</t>
  </si>
  <si>
    <t>10a</t>
  </si>
  <si>
    <t>LF 11 0-10</t>
  </si>
  <si>
    <t>LF 11</t>
  </si>
  <si>
    <t>11a</t>
  </si>
  <si>
    <t>LF 12 0-10</t>
  </si>
  <si>
    <t>LF 12</t>
  </si>
  <si>
    <t>12a</t>
  </si>
  <si>
    <t>LF 13 0-10</t>
  </si>
  <si>
    <t>LF 13</t>
  </si>
  <si>
    <t>13a</t>
  </si>
  <si>
    <t>LF 14 0-10</t>
  </si>
  <si>
    <t>LF 14</t>
  </si>
  <si>
    <t>14a</t>
  </si>
  <si>
    <t>LF 15 0-10</t>
  </si>
  <si>
    <t>LF 15</t>
  </si>
  <si>
    <t>15a</t>
  </si>
  <si>
    <t>LF 16 0-10</t>
  </si>
  <si>
    <t>LF 16</t>
  </si>
  <si>
    <t>16a</t>
  </si>
  <si>
    <t>LF 17 0-10</t>
  </si>
  <si>
    <t>LF 17</t>
  </si>
  <si>
    <t>17a</t>
  </si>
  <si>
    <t>LF 18 0-10</t>
  </si>
  <si>
    <t>LF 18</t>
  </si>
  <si>
    <t>18a</t>
  </si>
  <si>
    <t>LF 19 0-10</t>
  </si>
  <si>
    <t>LF 19</t>
  </si>
  <si>
    <t>19a</t>
  </si>
  <si>
    <t>LF 20 0-10</t>
  </si>
  <si>
    <t>LF 20</t>
  </si>
  <si>
    <t>20a</t>
  </si>
  <si>
    <t>LF 21 0-10</t>
  </si>
  <si>
    <t>LF 21</t>
  </si>
  <si>
    <t>21a</t>
  </si>
  <si>
    <t>LF 22 0-10</t>
  </si>
  <si>
    <t>LF 22</t>
  </si>
  <si>
    <t>22a</t>
  </si>
  <si>
    <t>LF 23 0-10</t>
  </si>
  <si>
    <t>LF 23</t>
  </si>
  <si>
    <t>23a</t>
  </si>
  <si>
    <t>LF 24 0-10</t>
  </si>
  <si>
    <t>LF 24</t>
  </si>
  <si>
    <t>24a</t>
  </si>
  <si>
    <t>LF 25 0-10</t>
  </si>
  <si>
    <t>LF 25</t>
  </si>
  <si>
    <t>25a</t>
  </si>
  <si>
    <t>LF 26 0-10</t>
  </si>
  <si>
    <t>LF 26</t>
  </si>
  <si>
    <t>26a</t>
  </si>
  <si>
    <t>LF 27 0-10</t>
  </si>
  <si>
    <t>LF 27</t>
  </si>
  <si>
    <t>27a</t>
  </si>
  <si>
    <t>LF 28 0-10</t>
  </si>
  <si>
    <t>LF 28</t>
  </si>
  <si>
    <t>28a</t>
  </si>
  <si>
    <t>LF 29 0-10</t>
  </si>
  <si>
    <t>LF 29</t>
  </si>
  <si>
    <t>29a</t>
  </si>
  <si>
    <t>LF 30 0-10</t>
  </si>
  <si>
    <t>LF 30</t>
  </si>
  <si>
    <t>30a</t>
  </si>
  <si>
    <t>LF 31 0-10</t>
  </si>
  <si>
    <t>LF 31</t>
  </si>
  <si>
    <t>31a</t>
  </si>
  <si>
    <t>LF 32 0-10</t>
  </si>
  <si>
    <t>LF 32</t>
  </si>
  <si>
    <t>32a</t>
  </si>
  <si>
    <t>LF 33 0-10</t>
  </si>
  <si>
    <t>LF 33</t>
  </si>
  <si>
    <t>33a</t>
  </si>
  <si>
    <t>LF 34 0-10</t>
  </si>
  <si>
    <t>LF 34</t>
  </si>
  <si>
    <t>34a</t>
  </si>
  <si>
    <t>LF 35 0-10</t>
  </si>
  <si>
    <t>LF 35</t>
  </si>
  <si>
    <t>35a</t>
  </si>
  <si>
    <t>LF 36 0-10</t>
  </si>
  <si>
    <t>LF 36</t>
  </si>
  <si>
    <t>36a</t>
  </si>
  <si>
    <t>LF 37 0-10</t>
  </si>
  <si>
    <t>LF 37</t>
  </si>
  <si>
    <t>37a</t>
  </si>
  <si>
    <t>LF 38 0-10</t>
  </si>
  <si>
    <t>LF 38</t>
  </si>
  <si>
    <t>38a</t>
  </si>
  <si>
    <t>LF 39 0-10</t>
  </si>
  <si>
    <t>LF 39</t>
  </si>
  <si>
    <t>39a</t>
  </si>
  <si>
    <t>LF 40 0-10</t>
  </si>
  <si>
    <t xml:space="preserve">LF 40 </t>
  </si>
  <si>
    <t>40a</t>
  </si>
  <si>
    <t>LF 41 0-10</t>
  </si>
  <si>
    <t>LF 41</t>
  </si>
  <si>
    <t>41a</t>
  </si>
  <si>
    <t>LF 42 0-10</t>
  </si>
  <si>
    <t>LF 42</t>
  </si>
  <si>
    <t>42a</t>
  </si>
  <si>
    <t>LF 43</t>
  </si>
  <si>
    <t>43a</t>
  </si>
  <si>
    <t>LF 44</t>
  </si>
  <si>
    <t>44a</t>
  </si>
  <si>
    <t>LF 45</t>
  </si>
  <si>
    <t>45a</t>
  </si>
  <si>
    <t>LF 46</t>
  </si>
  <si>
    <t>46a</t>
  </si>
  <si>
    <t>DEPTH</t>
  </si>
  <si>
    <t>AREA</t>
  </si>
  <si>
    <t>ELEV</t>
  </si>
  <si>
    <t>SAND_P</t>
  </si>
  <si>
    <t>CLAY_P</t>
  </si>
  <si>
    <t>SILT_P</t>
  </si>
  <si>
    <t>pH</t>
  </si>
  <si>
    <t>WEP</t>
  </si>
  <si>
    <t>MM3</t>
  </si>
  <si>
    <t>M3</t>
  </si>
  <si>
    <t>AG</t>
  </si>
  <si>
    <t>AL</t>
  </si>
  <si>
    <t>AS</t>
  </si>
  <si>
    <t>BA</t>
  </si>
  <si>
    <t>CA</t>
  </si>
  <si>
    <t>CD</t>
  </si>
  <si>
    <t>CO</t>
  </si>
  <si>
    <t>CR</t>
  </si>
  <si>
    <t>CU</t>
  </si>
  <si>
    <t>FE</t>
  </si>
  <si>
    <t>K</t>
  </si>
  <si>
    <t>LI</t>
  </si>
  <si>
    <t>MG</t>
  </si>
  <si>
    <t>MN</t>
  </si>
  <si>
    <t>NA</t>
  </si>
  <si>
    <t>NI</t>
  </si>
  <si>
    <t>PB</t>
  </si>
  <si>
    <t>S</t>
  </si>
  <si>
    <t>SE</t>
  </si>
  <si>
    <t>SI</t>
  </si>
  <si>
    <t>ZN</t>
  </si>
  <si>
    <t>LF 43 0-10</t>
  </si>
  <si>
    <t>LF 44 0-10</t>
  </si>
  <si>
    <t>LF 45 0-10</t>
  </si>
  <si>
    <t>LF 46 0-10</t>
  </si>
  <si>
    <t/>
  </si>
  <si>
    <t>LF 43 0-5</t>
  </si>
  <si>
    <t>LF 43 5-10</t>
  </si>
  <si>
    <t>LF 44 0-5</t>
  </si>
  <si>
    <t>LF 44 5-10</t>
  </si>
  <si>
    <t>LF 45 0-5</t>
  </si>
  <si>
    <t>LF 45 5-10</t>
  </si>
  <si>
    <t>LF 46 0-5</t>
  </si>
  <si>
    <t>LF 46 5-10</t>
  </si>
  <si>
    <t>x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</si>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</sst>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color rgb="FF000000"/>
      <name val="Arial"/>
      <family val="2"/>
    </font>
    <font>
      <sz val="12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4" fillId="0" borderId="0" xfId="0" applyFont="1"/>
    <xf numFmtId="0" fontId="0" fillId="0" borderId="0" xfId="0" applyFont="1"/>
    <xf numFmtId="0" fontId="0" fillId="0" borderId="0" xfId="0" applyFont="1" applyAlignment="1">
      <alignment horizontal="center"/>
    </xf>
    <xf numFmtId="0" fontId="18" fillId="0" borderId="0" xfId="0" applyFont="1"/>
    <xf numFmtId="2" fontId="0" fillId="0" borderId="0" xfId="0" applyNumberFormat="1" applyFont="1" applyAlignment="1">
      <alignment horizontal="center"/>
    </xf>
    <xf numFmtId="2" fontId="0" fillId="33" borderId="0" xfId="0" applyNumberFormat="1" applyFont="1" applyFill="1" applyAlignment="1">
      <alignment horizontal="center"/>
    </xf>
    <xf numFmtId="0" fontId="0" fillId="33" borderId="0" xfId="0" applyFont="1" applyFill="1" applyAlignment="1">
      <alignment horizontal="center"/>
    </xf>
    <xf numFmtId="0" fontId="0" fillId="0" borderId="0" xfId="0" applyFont="1" applyAlignment="1">
      <alignment horizontal="left" vertical="top" wrapText="1"/>
    </xf>
    <xf numFmtId="2" fontId="14" fillId="0" borderId="0" xfId="0" applyNumberFormat="1" applyFont="1"/>
    <xf numFmtId="2" fontId="0" fillId="0" borderId="0" xfId="0" applyNumberFormat="1" applyFont="1"/>
    <xf numFmtId="2" fontId="19" fillId="33" borderId="0" xfId="0" applyNumberFormat="1" applyFont="1" applyFill="1" applyAlignment="1">
      <alignment horizontal="center"/>
    </xf>
    <xf numFmtId="2" fontId="19" fillId="0" borderId="0" xfId="0" applyNumberFormat="1" applyFont="1" applyAlignment="1">
      <alignment horizontal="center"/>
    </xf>
    <xf numFmtId="2" fontId="19" fillId="34" borderId="0" xfId="0" applyNumberFormat="1" applyFont="1" applyFill="1" applyAlignment="1">
      <alignment horizontal="center"/>
    </xf>
    <xf numFmtId="0" fontId="19" fillId="0" borderId="0" xfId="0" applyFont="1"/>
    <xf numFmtId="2" fontId="19" fillId="0" borderId="0" xfId="0" applyNumberFormat="1" applyFont="1"/>
    <xf numFmtId="164" fontId="19" fillId="0" borderId="0" xfId="0" applyNumberFormat="1" applyFont="1"/>
    <xf numFmtId="164" fontId="19" fillId="33" borderId="0" xfId="0" applyNumberFormat="1" applyFont="1" applyFill="1" applyAlignment="1">
      <alignment horizontal="center"/>
    </xf>
    <xf numFmtId="164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" fontId="19" fillId="0" borderId="0" xfId="0" applyNumberFormat="1" applyFont="1"/>
    <xf numFmtId="1" fontId="19" fillId="0" borderId="0" xfId="0" applyNumberFormat="1" applyFont="1" applyAlignment="1">
      <alignment horizontal="center"/>
    </xf>
    <xf numFmtId="1" fontId="19" fillId="33" borderId="0" xfId="0" applyNumberFormat="1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2576-FB1E-4D53-A521-E189B28F11C1}">
  <dimension ref="A1:AS55"/>
  <sheetViews>
    <sheetView tabSelected="1" topLeftCell="A37" workbookViewId="0">
      <selection activeCell="AO57" sqref="AO57"/>
    </sheetView>
  </sheetViews>
  <sheetFormatPr defaultRowHeight="15.6" x14ac:dyDescent="0.3"/>
  <cols>
    <col min="1" max="10" width="8.796875" style="14"/>
    <col min="11" max="13" width="8.796875" style="18"/>
    <col min="14" max="14" width="8.796875" style="14"/>
    <col min="15" max="15" width="8.796875" style="16"/>
    <col min="16" max="20" width="8.796875" style="15"/>
    <col min="21" max="21" width="8.796875" style="16"/>
    <col min="22" max="22" width="8.796875" style="20"/>
    <col min="23" max="23" width="8.796875" style="15"/>
    <col min="24" max="24" width="9.19921875" style="20" bestFit="1" customWidth="1"/>
    <col min="25" max="25" width="8.796875" style="15"/>
    <col min="26" max="27" width="8.796875" style="20"/>
    <col min="28" max="29" width="8.796875" style="15"/>
    <col min="30" max="30" width="8.796875" style="16"/>
    <col min="31" max="31" width="8.796875" style="15"/>
    <col min="32" max="33" width="8.796875" style="20"/>
    <col min="34" max="34" width="8.796875" style="15"/>
    <col min="35" max="36" width="8.796875" style="20"/>
    <col min="37" max="38" width="8.796875" style="15"/>
    <col min="39" max="39" width="8.796875" style="16"/>
    <col min="40" max="40" width="8.796875" style="20"/>
    <col min="41" max="41" width="8.796875" style="15"/>
    <col min="42" max="43" width="8.796875" style="16"/>
    <col min="44" max="45" width="8.796875" style="21"/>
    <col min="46" max="16384" width="8.796875" style="14"/>
  </cols>
  <sheetData>
    <row r="1" spans="1:45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8" t="s">
        <v>10</v>
      </c>
      <c r="L1" s="18" t="s">
        <v>11</v>
      </c>
      <c r="M1" s="18" t="s">
        <v>12</v>
      </c>
      <c r="N1" s="14" t="s">
        <v>13</v>
      </c>
      <c r="O1" s="16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6" t="s">
        <v>20</v>
      </c>
      <c r="V1" s="20" t="s">
        <v>21</v>
      </c>
      <c r="W1" s="15" t="s">
        <v>22</v>
      </c>
      <c r="X1" s="20" t="s">
        <v>23</v>
      </c>
      <c r="Y1" s="15" t="s">
        <v>24</v>
      </c>
      <c r="Z1" s="20" t="s">
        <v>25</v>
      </c>
      <c r="AA1" s="20" t="s">
        <v>26</v>
      </c>
      <c r="AB1" s="15" t="s">
        <v>27</v>
      </c>
      <c r="AC1" s="15" t="s">
        <v>28</v>
      </c>
      <c r="AD1" s="16" t="s">
        <v>29</v>
      </c>
      <c r="AE1" s="15" t="s">
        <v>30</v>
      </c>
      <c r="AF1" s="20" t="s">
        <v>31</v>
      </c>
      <c r="AG1" s="20" t="s">
        <v>32</v>
      </c>
      <c r="AH1" s="15" t="s">
        <v>33</v>
      </c>
      <c r="AI1" s="20" t="s">
        <v>34</v>
      </c>
      <c r="AJ1" s="20" t="s">
        <v>35</v>
      </c>
      <c r="AK1" s="15" t="s">
        <v>36</v>
      </c>
      <c r="AL1" s="15" t="s">
        <v>37</v>
      </c>
      <c r="AM1" s="16" t="s">
        <v>38</v>
      </c>
      <c r="AN1" s="20" t="s">
        <v>39</v>
      </c>
      <c r="AO1" s="15" t="s">
        <v>40</v>
      </c>
      <c r="AP1" s="16" t="s">
        <v>41</v>
      </c>
      <c r="AQ1" s="16" t="s">
        <v>42</v>
      </c>
      <c r="AR1" s="21" t="s">
        <v>43</v>
      </c>
      <c r="AS1" s="21" t="s">
        <v>44</v>
      </c>
    </row>
    <row r="2" spans="1:45" x14ac:dyDescent="0.3">
      <c r="A2" s="14" t="s">
        <v>45</v>
      </c>
      <c r="B2" s="14" t="s">
        <v>46</v>
      </c>
      <c r="C2" s="14">
        <v>36.107767000000003</v>
      </c>
      <c r="D2" s="14">
        <v>-94.560067000000004</v>
      </c>
      <c r="E2" s="14" t="s">
        <v>47</v>
      </c>
      <c r="F2" s="14">
        <v>10</v>
      </c>
      <c r="G2" s="14" t="s">
        <v>48</v>
      </c>
      <c r="H2" s="14">
        <v>1</v>
      </c>
      <c r="I2" s="14">
        <v>279.7</v>
      </c>
      <c r="K2" s="17"/>
      <c r="L2" s="17"/>
      <c r="M2" s="17"/>
      <c r="O2" s="18">
        <v>38.559134952213505</v>
      </c>
      <c r="P2" s="12">
        <v>3.0086757707225193</v>
      </c>
      <c r="Q2" s="12">
        <v>4.9293427542994266</v>
      </c>
      <c r="R2" s="12">
        <v>2.197216858645715</v>
      </c>
      <c r="S2" s="12" t="s">
        <v>237</v>
      </c>
      <c r="T2" s="12" t="s">
        <v>237</v>
      </c>
      <c r="U2" s="18">
        <v>16.267742354587249</v>
      </c>
      <c r="V2" s="21">
        <v>477.68124625524263</v>
      </c>
      <c r="W2" s="12">
        <v>0.21968977418253705</v>
      </c>
      <c r="X2" s="21">
        <v>8635.5680166692146</v>
      </c>
      <c r="Y2" s="12">
        <v>4.6957484204720839</v>
      </c>
      <c r="Z2" s="21">
        <v>117.82912686092544</v>
      </c>
      <c r="AA2" s="21">
        <v>4022.0152607301325</v>
      </c>
      <c r="AB2" s="12">
        <v>2.4719651918988736</v>
      </c>
      <c r="AC2" s="12">
        <v>9.8249851471931784</v>
      </c>
      <c r="AD2" s="18">
        <v>18.561697205310505</v>
      </c>
      <c r="AE2" s="18">
        <v>11.212104881792817</v>
      </c>
      <c r="AF2" s="21">
        <v>13279.059589070655</v>
      </c>
      <c r="AG2" s="21">
        <v>882.40524003252438</v>
      </c>
      <c r="AH2" s="18">
        <v>12.2455358624428</v>
      </c>
      <c r="AI2" s="21">
        <v>727.34667640288899</v>
      </c>
      <c r="AJ2" s="21">
        <v>1094.6343182965052</v>
      </c>
      <c r="AK2" s="18">
        <v>39.434796476483989</v>
      </c>
      <c r="AL2" s="18">
        <v>18.516923765228448</v>
      </c>
      <c r="AM2" s="18">
        <v>16.302030956575834</v>
      </c>
      <c r="AN2" s="21">
        <v>252.42365764922809</v>
      </c>
      <c r="AO2" s="13"/>
      <c r="AP2" s="18">
        <v>19.206306206300511</v>
      </c>
      <c r="AQ2" s="18">
        <v>71.608690601670247</v>
      </c>
      <c r="AR2" s="22"/>
      <c r="AS2" s="22"/>
    </row>
    <row r="3" spans="1:45" x14ac:dyDescent="0.3">
      <c r="A3" s="14" t="s">
        <v>49</v>
      </c>
      <c r="B3" s="14" t="s">
        <v>50</v>
      </c>
      <c r="C3" s="14">
        <v>36.107767000000003</v>
      </c>
      <c r="D3" s="14">
        <v>-94.560033000000004</v>
      </c>
      <c r="E3" s="14" t="s">
        <v>51</v>
      </c>
      <c r="F3" s="14">
        <v>10</v>
      </c>
      <c r="G3" s="14" t="s">
        <v>48</v>
      </c>
      <c r="H3" s="14">
        <v>1</v>
      </c>
      <c r="I3" s="14">
        <v>279.8</v>
      </c>
      <c r="K3" s="17"/>
      <c r="L3" s="17"/>
      <c r="M3" s="17"/>
      <c r="O3" s="18">
        <v>39.536596150379339</v>
      </c>
      <c r="P3" s="12">
        <v>2.3518051473776111</v>
      </c>
      <c r="Q3" s="12">
        <v>3.2297846810212651</v>
      </c>
      <c r="R3" s="12">
        <v>2.0888163374088018</v>
      </c>
      <c r="S3" s="12" t="s">
        <v>237</v>
      </c>
      <c r="T3" s="12" t="s">
        <v>237</v>
      </c>
      <c r="U3" s="18">
        <v>10.37868570095949</v>
      </c>
      <c r="V3" s="21">
        <v>361.26099120703452</v>
      </c>
      <c r="W3" s="12">
        <v>0.1913990086100229</v>
      </c>
      <c r="X3" s="21">
        <v>6736.1476399979556</v>
      </c>
      <c r="Y3" s="12">
        <v>4.6552115957551399</v>
      </c>
      <c r="Z3" s="21">
        <v>113.33714327724198</v>
      </c>
      <c r="AA3" s="21">
        <v>4604.2609054934219</v>
      </c>
      <c r="AB3" s="12">
        <v>2.495858497076203</v>
      </c>
      <c r="AC3" s="12">
        <v>9.0549561243802277</v>
      </c>
      <c r="AD3" s="18">
        <v>16.790652488409123</v>
      </c>
      <c r="AE3" s="18">
        <v>10.838732246101619</v>
      </c>
      <c r="AF3" s="21">
        <v>13452.576911084167</v>
      </c>
      <c r="AG3" s="21">
        <v>881.07657134033821</v>
      </c>
      <c r="AH3" s="18">
        <v>10.706262287036669</v>
      </c>
      <c r="AI3" s="21">
        <v>674.20174467668437</v>
      </c>
      <c r="AJ3" s="21">
        <v>1002.9812425271334</v>
      </c>
      <c r="AK3" s="18">
        <v>33.08338299414482</v>
      </c>
      <c r="AL3" s="18">
        <v>15.880874469859156</v>
      </c>
      <c r="AM3" s="18">
        <v>24.554481379060675</v>
      </c>
      <c r="AN3" s="21">
        <v>253.17708718738754</v>
      </c>
      <c r="AO3" s="13"/>
      <c r="AP3" s="18">
        <v>25.538025324594223</v>
      </c>
      <c r="AQ3" s="18">
        <v>82.236346501976982</v>
      </c>
      <c r="AR3" s="22"/>
      <c r="AS3" s="22"/>
    </row>
    <row r="4" spans="1:45" x14ac:dyDescent="0.3">
      <c r="A4" s="14" t="s">
        <v>52</v>
      </c>
      <c r="B4" s="14" t="s">
        <v>53</v>
      </c>
      <c r="C4" s="14">
        <v>36.107782999999998</v>
      </c>
      <c r="D4" s="14">
        <v>-94.560199999999995</v>
      </c>
      <c r="E4" s="14" t="s">
        <v>54</v>
      </c>
      <c r="F4" s="14">
        <v>10</v>
      </c>
      <c r="G4" s="14" t="s">
        <v>48</v>
      </c>
      <c r="H4" s="14">
        <v>1</v>
      </c>
      <c r="I4" s="14">
        <v>279.60000000000002</v>
      </c>
      <c r="K4" s="17"/>
      <c r="L4" s="17"/>
      <c r="M4" s="17"/>
      <c r="O4" s="18">
        <v>40.982381637123545</v>
      </c>
      <c r="P4" s="12">
        <v>2.8119487445201963</v>
      </c>
      <c r="Q4" s="12">
        <v>4.4098530048998361</v>
      </c>
      <c r="R4" s="12">
        <v>2.9585207396301847</v>
      </c>
      <c r="S4" s="12" t="s">
        <v>237</v>
      </c>
      <c r="T4" s="12" t="s">
        <v>237</v>
      </c>
      <c r="U4" s="18">
        <v>14.273156368726255</v>
      </c>
      <c r="V4" s="21">
        <v>376.83170293471755</v>
      </c>
      <c r="W4" s="12">
        <v>0.29601916016845403</v>
      </c>
      <c r="X4" s="21">
        <v>3466.608734945301</v>
      </c>
      <c r="Y4" s="12"/>
      <c r="Z4" s="18">
        <v>67.248238370782005</v>
      </c>
      <c r="AA4" s="21">
        <v>1688.6583809076849</v>
      </c>
      <c r="AB4" s="12"/>
      <c r="AC4" s="12">
        <v>5.4755012445265745</v>
      </c>
      <c r="AD4" s="18">
        <v>11.097596630755664</v>
      </c>
      <c r="AE4" s="12">
        <v>6.3064224881435527</v>
      </c>
      <c r="AF4" s="21">
        <v>9251.9255320413577</v>
      </c>
      <c r="AG4" s="21">
        <v>555.3684786767916</v>
      </c>
      <c r="AH4" s="12">
        <v>5.1526845825572307</v>
      </c>
      <c r="AI4" s="21">
        <v>332.51442826658581</v>
      </c>
      <c r="AJ4" s="21">
        <v>378.52464688932599</v>
      </c>
      <c r="AK4" s="18">
        <v>19.674127795912394</v>
      </c>
      <c r="AL4" s="12">
        <v>7.8499725684229915</v>
      </c>
      <c r="AM4" s="18">
        <v>22.787539725494803</v>
      </c>
      <c r="AN4" s="21">
        <v>96.968155358417064</v>
      </c>
      <c r="AO4" s="13"/>
      <c r="AP4" s="18">
        <v>30.311821237013099</v>
      </c>
      <c r="AQ4" s="18">
        <v>33.218940053158931</v>
      </c>
      <c r="AR4" s="22"/>
      <c r="AS4" s="22"/>
    </row>
    <row r="5" spans="1:45" x14ac:dyDescent="0.3">
      <c r="A5" s="14" t="s">
        <v>55</v>
      </c>
      <c r="B5" s="14" t="s">
        <v>56</v>
      </c>
      <c r="C5" s="14">
        <v>36.107782999999998</v>
      </c>
      <c r="D5" s="14">
        <v>-94.56</v>
      </c>
      <c r="E5" s="14" t="s">
        <v>57</v>
      </c>
      <c r="F5" s="14">
        <v>10</v>
      </c>
      <c r="G5" s="14" t="s">
        <v>48</v>
      </c>
      <c r="H5" s="14">
        <v>1</v>
      </c>
      <c r="I5" s="14">
        <v>279.8</v>
      </c>
      <c r="K5" s="17"/>
      <c r="L5" s="17"/>
      <c r="M5" s="17"/>
      <c r="O5" s="18">
        <v>40.524709137504814</v>
      </c>
      <c r="P5" s="12">
        <v>3.4154408573982664</v>
      </c>
      <c r="Q5" s="12">
        <v>5.0686483604372166</v>
      </c>
      <c r="R5" s="12">
        <v>3.5870108243130718</v>
      </c>
      <c r="S5" s="12" t="s">
        <v>237</v>
      </c>
      <c r="T5" s="12" t="s">
        <v>237</v>
      </c>
      <c r="U5" s="18">
        <v>5.7114076764176716</v>
      </c>
      <c r="V5" s="21">
        <v>278.37945450925736</v>
      </c>
      <c r="W5" s="12">
        <v>0.17448350270730839</v>
      </c>
      <c r="X5" s="21">
        <v>7996.3685906467781</v>
      </c>
      <c r="Y5" s="12">
        <v>4.8659738073718835</v>
      </c>
      <c r="Z5" s="21">
        <v>124.1012583911408</v>
      </c>
      <c r="AA5" s="21">
        <v>4348.1586591789574</v>
      </c>
      <c r="AB5" s="12">
        <v>2.2402150630958446</v>
      </c>
      <c r="AC5" s="18">
        <v>10.20351028050057</v>
      </c>
      <c r="AD5" s="18">
        <v>19.199352295462074</v>
      </c>
      <c r="AE5" s="18">
        <v>11.445841325980272</v>
      </c>
      <c r="AF5" s="21">
        <v>13200.165111070151</v>
      </c>
      <c r="AG5" s="21">
        <v>1048.5916242225501</v>
      </c>
      <c r="AH5" s="18">
        <v>13.077224861652565</v>
      </c>
      <c r="AI5" s="21">
        <v>803.25888790222473</v>
      </c>
      <c r="AJ5" s="21">
        <v>968.42703431935172</v>
      </c>
      <c r="AK5" s="18">
        <v>27.31958697051213</v>
      </c>
      <c r="AL5" s="18">
        <v>19.278353662013888</v>
      </c>
      <c r="AM5" s="18">
        <v>17.682802509286365</v>
      </c>
      <c r="AN5" s="21">
        <v>310.25739907968523</v>
      </c>
      <c r="AO5" s="13"/>
      <c r="AP5" s="18">
        <v>36.339459010831249</v>
      </c>
      <c r="AQ5" s="18">
        <v>65.082240182280202</v>
      </c>
      <c r="AR5" s="22"/>
      <c r="AS5" s="22"/>
    </row>
    <row r="6" spans="1:45" x14ac:dyDescent="0.3">
      <c r="A6" s="14" t="s">
        <v>58</v>
      </c>
      <c r="B6" s="14" t="s">
        <v>59</v>
      </c>
      <c r="C6" s="14">
        <v>36.107799999999997</v>
      </c>
      <c r="D6" s="14">
        <v>-94.560067000000004</v>
      </c>
      <c r="E6" s="14" t="s">
        <v>60</v>
      </c>
      <c r="F6" s="14">
        <v>10</v>
      </c>
      <c r="G6" s="14" t="s">
        <v>48</v>
      </c>
      <c r="H6" s="14">
        <v>1</v>
      </c>
      <c r="I6" s="14">
        <v>279.7</v>
      </c>
      <c r="K6" s="17"/>
      <c r="L6" s="17"/>
      <c r="M6" s="17"/>
      <c r="O6" s="18">
        <v>41.271423390125406</v>
      </c>
      <c r="P6" s="12">
        <v>2.6127986853198069</v>
      </c>
      <c r="Q6" s="12">
        <v>4.7693640847886947</v>
      </c>
      <c r="R6" s="12">
        <v>1.6182738412360147</v>
      </c>
      <c r="S6" s="12" t="s">
        <v>237</v>
      </c>
      <c r="T6" s="12" t="s">
        <v>237</v>
      </c>
      <c r="U6" s="18">
        <v>7.6023437083444412</v>
      </c>
      <c r="V6" s="21">
        <v>525.85074626865674</v>
      </c>
      <c r="W6" s="12">
        <v>0.23901272216632524</v>
      </c>
      <c r="X6" s="21">
        <v>7152.5732652911156</v>
      </c>
      <c r="Y6" s="12">
        <v>3.6346413662114152</v>
      </c>
      <c r="Z6" s="21">
        <v>108.56496833268612</v>
      </c>
      <c r="AA6" s="21">
        <v>3649.2235981605118</v>
      </c>
      <c r="AB6" s="12">
        <v>2.4510799858373318</v>
      </c>
      <c r="AC6" s="12">
        <v>9.0066814570084262</v>
      </c>
      <c r="AD6" s="18">
        <v>17.869178235923126</v>
      </c>
      <c r="AE6" s="18">
        <v>10.132738597517626</v>
      </c>
      <c r="AF6" s="21">
        <v>13122.62081277713</v>
      </c>
      <c r="AG6" s="21">
        <v>870.98284405135792</v>
      </c>
      <c r="AH6" s="18">
        <v>11.622587032813794</v>
      </c>
      <c r="AI6" s="21">
        <v>676.21321989983744</v>
      </c>
      <c r="AJ6" s="21">
        <v>910.85470732363297</v>
      </c>
      <c r="AK6" s="18">
        <v>33.215781231450165</v>
      </c>
      <c r="AL6" s="18">
        <v>15.575590652647318</v>
      </c>
      <c r="AM6" s="18">
        <v>23.239580330848604</v>
      </c>
      <c r="AN6" s="21">
        <v>196.62753607414379</v>
      </c>
      <c r="AO6" s="13"/>
      <c r="AP6" s="18">
        <v>25.71225683683053</v>
      </c>
      <c r="AQ6" s="18">
        <v>70.164133975349671</v>
      </c>
      <c r="AR6" s="22"/>
      <c r="AS6" s="22"/>
    </row>
    <row r="7" spans="1:45" x14ac:dyDescent="0.3">
      <c r="A7" s="14" t="s">
        <v>61</v>
      </c>
      <c r="B7" s="14" t="s">
        <v>62</v>
      </c>
      <c r="C7" s="14">
        <v>36.107250000000001</v>
      </c>
      <c r="D7" s="14">
        <v>-94.560732999999999</v>
      </c>
      <c r="E7" s="14" t="s">
        <v>63</v>
      </c>
      <c r="F7" s="14">
        <v>10</v>
      </c>
      <c r="G7" s="14" t="s">
        <v>48</v>
      </c>
      <c r="H7" s="14">
        <v>1</v>
      </c>
      <c r="I7" s="14">
        <v>281.10000000000002</v>
      </c>
      <c r="K7" s="17"/>
      <c r="L7" s="17"/>
      <c r="M7" s="17"/>
      <c r="O7" s="18">
        <v>44.659432691530959</v>
      </c>
      <c r="P7" s="12">
        <v>3.0458314766712702</v>
      </c>
      <c r="Q7" s="12">
        <v>2.669288189816049</v>
      </c>
      <c r="R7" s="12">
        <v>1.839264294282287</v>
      </c>
      <c r="S7" s="12" t="s">
        <v>237</v>
      </c>
      <c r="T7" s="12" t="s">
        <v>237</v>
      </c>
      <c r="U7" s="18">
        <v>6.1559762111014873</v>
      </c>
      <c r="V7" s="21">
        <v>245.08078994614004</v>
      </c>
      <c r="W7" s="12">
        <v>0.18231873641459223</v>
      </c>
      <c r="X7" s="21">
        <v>10494.200870408762</v>
      </c>
      <c r="Y7" s="12">
        <v>5.571075627759944</v>
      </c>
      <c r="Z7" s="21">
        <v>138.36903305160624</v>
      </c>
      <c r="AA7" s="21">
        <v>4934.9134653418832</v>
      </c>
      <c r="AB7" s="12">
        <v>2.4426227431938607</v>
      </c>
      <c r="AC7" s="18">
        <v>10.517805652891695</v>
      </c>
      <c r="AD7" s="18">
        <v>23.057662724929543</v>
      </c>
      <c r="AE7" s="18">
        <v>12.06388561672598</v>
      </c>
      <c r="AF7" s="21">
        <v>14488.343954282107</v>
      </c>
      <c r="AG7" s="21">
        <v>1182.317791730273</v>
      </c>
      <c r="AH7" s="18">
        <v>17.460221331423455</v>
      </c>
      <c r="AI7" s="21">
        <v>991.02295312299759</v>
      </c>
      <c r="AJ7" s="21">
        <v>1003.2792981552714</v>
      </c>
      <c r="AK7" s="18">
        <v>38.095329183443653</v>
      </c>
      <c r="AL7" s="18">
        <v>20.980531406491867</v>
      </c>
      <c r="AM7" s="18">
        <v>19.341263938623658</v>
      </c>
      <c r="AN7" s="21">
        <v>322.31988508667803</v>
      </c>
      <c r="AO7" s="13"/>
      <c r="AP7" s="18">
        <v>38.29205835862637</v>
      </c>
      <c r="AQ7" s="18">
        <v>70.08330092897107</v>
      </c>
      <c r="AR7" s="22"/>
      <c r="AS7" s="22"/>
    </row>
    <row r="8" spans="1:45" x14ac:dyDescent="0.3">
      <c r="A8" s="14" t="s">
        <v>64</v>
      </c>
      <c r="B8" s="14" t="s">
        <v>65</v>
      </c>
      <c r="C8" s="14">
        <v>36.107166999999997</v>
      </c>
      <c r="D8" s="14">
        <v>-94.560699999999997</v>
      </c>
      <c r="E8" s="14" t="s">
        <v>66</v>
      </c>
      <c r="F8" s="14">
        <v>10</v>
      </c>
      <c r="G8" s="14" t="s">
        <v>48</v>
      </c>
      <c r="H8" s="14">
        <v>1</v>
      </c>
      <c r="I8" s="14">
        <v>281.10000000000002</v>
      </c>
      <c r="K8" s="17"/>
      <c r="L8" s="17"/>
      <c r="M8" s="17"/>
      <c r="O8" s="18">
        <v>40.219923257359007</v>
      </c>
      <c r="P8" s="12">
        <v>2.3567591357453335</v>
      </c>
      <c r="Q8" s="12">
        <v>3.0388857418946387</v>
      </c>
      <c r="R8" s="12">
        <v>1.5887819338507145</v>
      </c>
      <c r="S8" s="12" t="s">
        <v>237</v>
      </c>
      <c r="T8" s="12" t="s">
        <v>237</v>
      </c>
      <c r="U8" s="18">
        <v>6.8246480703859227</v>
      </c>
      <c r="V8" s="21">
        <v>259.41422594142261</v>
      </c>
      <c r="W8" s="12">
        <v>0.16505690267564205</v>
      </c>
      <c r="X8" s="21">
        <v>8267.9265392366196</v>
      </c>
      <c r="Y8" s="12">
        <v>4.9636414721993267</v>
      </c>
      <c r="Z8" s="21">
        <v>133.91453316241859</v>
      </c>
      <c r="AA8" s="21">
        <v>4401.4037438082632</v>
      </c>
      <c r="AB8" s="12">
        <v>2.3737718663042466</v>
      </c>
      <c r="AC8" s="18">
        <v>10.451863403967527</v>
      </c>
      <c r="AD8" s="18">
        <v>19.339149337317593</v>
      </c>
      <c r="AE8" s="18">
        <v>11.24443489660886</v>
      </c>
      <c r="AF8" s="21">
        <v>13908.033483162846</v>
      </c>
      <c r="AG8" s="21">
        <v>964.43312985852901</v>
      </c>
      <c r="AH8" s="18">
        <v>13.126445881151916</v>
      </c>
      <c r="AI8" s="21">
        <v>800.30220812817527</v>
      </c>
      <c r="AJ8" s="21">
        <v>1012.3465167456191</v>
      </c>
      <c r="AK8" s="18">
        <v>27.901116533502563</v>
      </c>
      <c r="AL8" s="18">
        <v>19.658713992659262</v>
      </c>
      <c r="AM8" s="18">
        <v>18.705028208962045</v>
      </c>
      <c r="AN8" s="21">
        <v>291.85448907905084</v>
      </c>
      <c r="AO8" s="13"/>
      <c r="AP8" s="18">
        <v>31.40055729578194</v>
      </c>
      <c r="AQ8" s="18">
        <v>65.103066992146125</v>
      </c>
      <c r="AR8" s="22"/>
      <c r="AS8" s="22"/>
    </row>
    <row r="9" spans="1:45" x14ac:dyDescent="0.3">
      <c r="A9" s="14" t="s">
        <v>67</v>
      </c>
      <c r="B9" s="14" t="s">
        <v>68</v>
      </c>
      <c r="C9" s="14">
        <v>36.106932999999998</v>
      </c>
      <c r="D9" s="14">
        <v>-94.560550000000006</v>
      </c>
      <c r="E9" s="14" t="s">
        <v>69</v>
      </c>
      <c r="F9" s="14">
        <v>10</v>
      </c>
      <c r="G9" s="14" t="s">
        <v>48</v>
      </c>
      <c r="H9" s="14">
        <v>1</v>
      </c>
      <c r="I9" s="14">
        <v>281.10000000000002</v>
      </c>
      <c r="K9" s="17"/>
      <c r="L9" s="17"/>
      <c r="M9" s="17"/>
      <c r="O9" s="18">
        <v>43.076493346615152</v>
      </c>
      <c r="P9" s="12">
        <v>2.3221411537572103</v>
      </c>
      <c r="Q9" s="12">
        <v>3.7288813355993202</v>
      </c>
      <c r="R9" s="12">
        <v>1.4781769151379964</v>
      </c>
      <c r="S9" s="12" t="s">
        <v>237</v>
      </c>
      <c r="T9" s="12" t="s">
        <v>237</v>
      </c>
      <c r="U9" s="18">
        <v>6.1028451436570901</v>
      </c>
      <c r="V9" s="21">
        <v>274.34436030290954</v>
      </c>
      <c r="W9" s="12">
        <v>0.23717307176051042</v>
      </c>
      <c r="X9" s="21">
        <v>7360.7919368409721</v>
      </c>
      <c r="Y9" s="12">
        <v>5.5929742841496983</v>
      </c>
      <c r="Z9" s="21">
        <v>110.09955540216301</v>
      </c>
      <c r="AA9" s="21">
        <v>3020.4639956980745</v>
      </c>
      <c r="AB9" s="12">
        <v>2.4517126706005214</v>
      </c>
      <c r="AC9" s="12">
        <v>8.8435623839702906</v>
      </c>
      <c r="AD9" s="18">
        <v>16.734259726371949</v>
      </c>
      <c r="AE9" s="12">
        <v>9.8779797345139393</v>
      </c>
      <c r="AF9" s="21">
        <v>13392.023948853417</v>
      </c>
      <c r="AG9" s="21">
        <v>822.08154581202984</v>
      </c>
      <c r="AH9" s="18">
        <v>11.306226702298844</v>
      </c>
      <c r="AI9" s="21">
        <v>603.60332418077553</v>
      </c>
      <c r="AJ9" s="21">
        <v>806.65693954486642</v>
      </c>
      <c r="AK9" s="18">
        <v>28.111594827666803</v>
      </c>
      <c r="AL9" s="18">
        <v>14.309484721832275</v>
      </c>
      <c r="AM9" s="18">
        <v>24.021034390463697</v>
      </c>
      <c r="AN9" s="21">
        <v>191.64724380626996</v>
      </c>
      <c r="AO9" s="13"/>
      <c r="AP9" s="18">
        <v>29.574507150552833</v>
      </c>
      <c r="AQ9" s="18">
        <v>53.176910785041457</v>
      </c>
      <c r="AR9" s="22"/>
      <c r="AS9" s="22"/>
    </row>
    <row r="10" spans="1:45" x14ac:dyDescent="0.3">
      <c r="A10" s="14" t="s">
        <v>70</v>
      </c>
      <c r="B10" s="14" t="s">
        <v>71</v>
      </c>
      <c r="C10" s="14">
        <v>36.106833000000002</v>
      </c>
      <c r="D10" s="14">
        <v>-94.560383000000002</v>
      </c>
      <c r="E10" s="14" t="s">
        <v>72</v>
      </c>
      <c r="F10" s="14">
        <v>10</v>
      </c>
      <c r="G10" s="14" t="s">
        <v>48</v>
      </c>
      <c r="H10" s="14">
        <v>1</v>
      </c>
      <c r="I10" s="14">
        <v>281.10000000000002</v>
      </c>
      <c r="K10" s="17"/>
      <c r="L10" s="17"/>
      <c r="M10" s="17"/>
      <c r="O10" s="18">
        <v>38.792364099903814</v>
      </c>
      <c r="P10" s="12">
        <v>2.5560320190160213</v>
      </c>
      <c r="Q10" s="12">
        <v>2.2626228961839692</v>
      </c>
      <c r="R10" s="12">
        <v>2.8490503165611458</v>
      </c>
      <c r="S10" s="12" t="s">
        <v>237</v>
      </c>
      <c r="T10" s="12" t="s">
        <v>237</v>
      </c>
      <c r="U10" s="18">
        <v>13.715469176941021</v>
      </c>
      <c r="V10" s="21">
        <v>362.30769230769238</v>
      </c>
      <c r="W10" s="12">
        <v>0.20208551568858191</v>
      </c>
      <c r="X10" s="21">
        <v>9672.657282966411</v>
      </c>
      <c r="Y10" s="12">
        <v>5.0239001846518967</v>
      </c>
      <c r="Z10" s="21">
        <v>128.00826121568534</v>
      </c>
      <c r="AA10" s="21">
        <v>4212.7644981600524</v>
      </c>
      <c r="AB10" s="12">
        <v>2.7327267596396299</v>
      </c>
      <c r="AC10" s="12">
        <v>9.9710259615533818</v>
      </c>
      <c r="AD10" s="18">
        <v>20.534440841547436</v>
      </c>
      <c r="AE10" s="18">
        <v>12.019314905501847</v>
      </c>
      <c r="AF10" s="21">
        <v>14030.184298967875</v>
      </c>
      <c r="AG10" s="21">
        <v>1175.6432902000438</v>
      </c>
      <c r="AH10" s="18">
        <v>17.472709617281044</v>
      </c>
      <c r="AI10" s="21">
        <v>780.1204336016765</v>
      </c>
      <c r="AJ10" s="21">
        <v>1070.8689020879265</v>
      </c>
      <c r="AK10" s="18">
        <v>41.939025134287029</v>
      </c>
      <c r="AL10" s="18">
        <v>19.275601828603193</v>
      </c>
      <c r="AM10" s="18">
        <v>16.071878146023547</v>
      </c>
      <c r="AN10" s="21">
        <v>257.89367679888068</v>
      </c>
      <c r="AO10" s="13"/>
      <c r="AP10" s="18">
        <v>31.613168762044246</v>
      </c>
      <c r="AQ10" s="18">
        <v>68.388913994991128</v>
      </c>
      <c r="AR10" s="22"/>
      <c r="AS10" s="22"/>
    </row>
    <row r="11" spans="1:45" x14ac:dyDescent="0.3">
      <c r="A11" s="14" t="s">
        <v>73</v>
      </c>
      <c r="B11" s="14" t="s">
        <v>74</v>
      </c>
      <c r="C11" s="14">
        <v>36.104810000000001</v>
      </c>
      <c r="D11" s="14">
        <v>-94.558210000000003</v>
      </c>
      <c r="E11" s="14" t="s">
        <v>75</v>
      </c>
      <c r="F11" s="14">
        <v>10</v>
      </c>
      <c r="G11" s="14" t="s">
        <v>76</v>
      </c>
      <c r="H11" s="14">
        <v>1</v>
      </c>
      <c r="I11" s="14">
        <v>280.10000000000002</v>
      </c>
      <c r="K11" s="18">
        <v>27.378975364291342</v>
      </c>
      <c r="L11" s="18">
        <v>13.934845855132544</v>
      </c>
      <c r="M11" s="18">
        <v>58.686178780576114</v>
      </c>
      <c r="N11" s="14">
        <v>6.67</v>
      </c>
      <c r="O11" s="18">
        <v>34.564338246439448</v>
      </c>
      <c r="P11" s="12">
        <v>3.6608130727112975</v>
      </c>
      <c r="Q11" s="12">
        <v>2.6682656273422274</v>
      </c>
      <c r="R11" s="12">
        <v>1.848151848151848</v>
      </c>
      <c r="S11" s="12">
        <v>40.885690008497022</v>
      </c>
      <c r="T11" s="12">
        <v>4.7692051324779197</v>
      </c>
      <c r="U11" s="18">
        <v>7.2132684617435361</v>
      </c>
      <c r="V11" s="21">
        <v>268.15286624203821</v>
      </c>
      <c r="W11" s="12">
        <v>0.23367387961509586</v>
      </c>
      <c r="X11" s="21">
        <v>7875.7366456597792</v>
      </c>
      <c r="Y11" s="12">
        <v>5.5953084842716638</v>
      </c>
      <c r="Z11" s="21">
        <v>128.14977072775233</v>
      </c>
      <c r="AA11" s="21">
        <v>4878.1156079080665</v>
      </c>
      <c r="AB11" s="12">
        <v>2.4752345407142289</v>
      </c>
      <c r="AC11" s="12">
        <v>9.6308815114479831</v>
      </c>
      <c r="AD11" s="18">
        <v>17.24965503584469</v>
      </c>
      <c r="AE11" s="18">
        <v>12.382504511922004</v>
      </c>
      <c r="AF11" s="21">
        <v>13114.547573319889</v>
      </c>
      <c r="AG11" s="21">
        <v>924.02491381576658</v>
      </c>
      <c r="AH11" s="18">
        <v>13.442127614193815</v>
      </c>
      <c r="AI11" s="21">
        <v>663.80869662322937</v>
      </c>
      <c r="AJ11" s="21">
        <v>974.46832034428962</v>
      </c>
      <c r="AK11" s="18">
        <v>35.009673925747634</v>
      </c>
      <c r="AL11" s="18">
        <v>18.164149070518999</v>
      </c>
      <c r="AM11" s="18">
        <v>16.115356796990508</v>
      </c>
      <c r="AN11" s="21">
        <v>318.6447375857569</v>
      </c>
      <c r="AO11" s="13"/>
      <c r="AP11" s="18">
        <v>28.727917012327119</v>
      </c>
      <c r="AQ11" s="18">
        <v>60.513594933647646</v>
      </c>
      <c r="AR11" s="21">
        <v>379.4308537194209</v>
      </c>
      <c r="AS11" s="21">
        <v>217.0423592073229</v>
      </c>
    </row>
    <row r="12" spans="1:45" x14ac:dyDescent="0.3">
      <c r="A12" s="14" t="s">
        <v>77</v>
      </c>
      <c r="B12" s="14" t="s">
        <v>78</v>
      </c>
      <c r="C12" s="14">
        <v>36.105130000000003</v>
      </c>
      <c r="D12" s="14">
        <v>-94.558199999999999</v>
      </c>
      <c r="E12" s="14" t="s">
        <v>79</v>
      </c>
      <c r="F12" s="14">
        <v>10</v>
      </c>
      <c r="G12" s="14" t="s">
        <v>76</v>
      </c>
      <c r="H12" s="14">
        <v>1</v>
      </c>
      <c r="I12" s="14">
        <v>280.39999999999998</v>
      </c>
      <c r="K12" s="18">
        <v>9.9968818210165278</v>
      </c>
      <c r="L12" s="18">
        <v>12.672279388836921</v>
      </c>
      <c r="M12" s="18">
        <v>77.330838790146544</v>
      </c>
      <c r="O12" s="18">
        <v>39.482834467256829</v>
      </c>
      <c r="P12" s="12">
        <v>3.0048201332180793</v>
      </c>
      <c r="Q12" s="12">
        <v>4.5684771742752419</v>
      </c>
      <c r="R12" s="12">
        <v>1.2585317130014984</v>
      </c>
      <c r="S12" s="12" t="s">
        <v>237</v>
      </c>
      <c r="T12" s="12">
        <v>7.6884623075384928</v>
      </c>
      <c r="U12" s="18">
        <v>12.659478173942022</v>
      </c>
      <c r="V12" s="21">
        <v>337.20252145219246</v>
      </c>
      <c r="W12" s="12">
        <v>0.17638227918076352</v>
      </c>
      <c r="X12" s="21">
        <v>7497.2951435448913</v>
      </c>
      <c r="Y12" s="12">
        <v>4.4261210524074341</v>
      </c>
      <c r="Z12" s="21">
        <v>114.2248427548367</v>
      </c>
      <c r="AA12" s="21">
        <v>4124.9259743049615</v>
      </c>
      <c r="AB12" s="12">
        <v>2.3353335006158797</v>
      </c>
      <c r="AC12" s="12">
        <v>9.3007771209672025</v>
      </c>
      <c r="AD12" s="18">
        <v>15.09519098227265</v>
      </c>
      <c r="AE12" s="18">
        <v>11.663516633089257</v>
      </c>
      <c r="AF12" s="21">
        <v>13013.832320639774</v>
      </c>
      <c r="AG12" s="21">
        <v>896.37835677617909</v>
      </c>
      <c r="AH12" s="18">
        <v>10.450424167739031</v>
      </c>
      <c r="AI12" s="21">
        <v>597.04347425322817</v>
      </c>
      <c r="AJ12" s="21">
        <v>923.60868872141668</v>
      </c>
      <c r="AK12" s="18">
        <v>25.256697563510688</v>
      </c>
      <c r="AL12" s="18">
        <v>16.643480049890698</v>
      </c>
      <c r="AM12" s="18">
        <v>15.031143233771042</v>
      </c>
      <c r="AN12" s="21">
        <v>260.84600042966446</v>
      </c>
      <c r="AO12" s="13"/>
      <c r="AP12" s="18">
        <v>31.046192397109905</v>
      </c>
      <c r="AQ12" s="18">
        <v>53.894875315937064</v>
      </c>
      <c r="AR12" s="21">
        <v>373.67896311066789</v>
      </c>
      <c r="AS12" s="21">
        <v>213.50646852982405</v>
      </c>
    </row>
    <row r="13" spans="1:45" x14ac:dyDescent="0.3">
      <c r="A13" s="14" t="s">
        <v>80</v>
      </c>
      <c r="B13" s="14" t="s">
        <v>81</v>
      </c>
      <c r="C13" s="14">
        <v>36.104883000000001</v>
      </c>
      <c r="D13" s="14">
        <v>-94.557582999999994</v>
      </c>
      <c r="E13" s="14" t="s">
        <v>82</v>
      </c>
      <c r="F13" s="14">
        <v>10</v>
      </c>
      <c r="G13" s="14" t="s">
        <v>76</v>
      </c>
      <c r="H13" s="14">
        <v>1</v>
      </c>
      <c r="I13" s="14">
        <v>280.89999999999998</v>
      </c>
      <c r="K13" s="18">
        <v>18.634823196817319</v>
      </c>
      <c r="L13" s="18">
        <v>12.686774038065318</v>
      </c>
      <c r="M13" s="18">
        <v>68.678402765117369</v>
      </c>
      <c r="N13" s="14">
        <v>6.85</v>
      </c>
      <c r="O13" s="18">
        <v>31.182398717053839</v>
      </c>
      <c r="P13" s="12">
        <v>3.5472876014399128</v>
      </c>
      <c r="Q13" s="12">
        <v>3.3182302771855015</v>
      </c>
      <c r="R13" s="12">
        <v>1.3286270853451436</v>
      </c>
      <c r="S13" s="12">
        <v>34.287999200279906</v>
      </c>
      <c r="T13" s="12">
        <v>4.6289199186856402</v>
      </c>
      <c r="U13" s="18">
        <v>9.5477199413489746</v>
      </c>
      <c r="V13" s="21">
        <v>266.27809826934549</v>
      </c>
      <c r="W13" s="12">
        <v>0.18972969248455826</v>
      </c>
      <c r="X13" s="21">
        <v>6200.930717870071</v>
      </c>
      <c r="Y13" s="12">
        <v>4.724305894290616</v>
      </c>
      <c r="Z13" s="21">
        <v>115.31930696400323</v>
      </c>
      <c r="AA13" s="21">
        <v>4787.0261190563733</v>
      </c>
      <c r="AB13" s="12">
        <v>2.3852453626981562</v>
      </c>
      <c r="AC13" s="12">
        <v>8.9882519339621449</v>
      </c>
      <c r="AD13" s="18">
        <v>15.03549392955707</v>
      </c>
      <c r="AE13" s="18">
        <v>11.015331489382582</v>
      </c>
      <c r="AF13" s="21">
        <v>13453.589173877543</v>
      </c>
      <c r="AG13" s="21">
        <v>857.87942798094332</v>
      </c>
      <c r="AH13" s="18">
        <v>10.073354806598363</v>
      </c>
      <c r="AI13" s="21">
        <v>587.09907322208005</v>
      </c>
      <c r="AJ13" s="21">
        <v>946.16416198219918</v>
      </c>
      <c r="AK13" s="18">
        <v>25.127077008819711</v>
      </c>
      <c r="AL13" s="18">
        <v>14.990487053679917</v>
      </c>
      <c r="AM13" s="18">
        <v>24.262779508050876</v>
      </c>
      <c r="AN13" s="21">
        <v>323.46454021604637</v>
      </c>
      <c r="AO13" s="13"/>
      <c r="AP13" s="18">
        <v>33.371183392913409</v>
      </c>
      <c r="AQ13" s="18">
        <v>54.882993624146444</v>
      </c>
      <c r="AR13" s="21">
        <v>348.34595456357118</v>
      </c>
      <c r="AS13" s="21">
        <v>197.94420837399423</v>
      </c>
    </row>
    <row r="14" spans="1:45" x14ac:dyDescent="0.3">
      <c r="A14" s="14" t="s">
        <v>83</v>
      </c>
      <c r="B14" s="14" t="s">
        <v>84</v>
      </c>
      <c r="C14" s="14">
        <v>36.105983000000002</v>
      </c>
      <c r="D14" s="14">
        <v>-94.558717000000001</v>
      </c>
      <c r="E14" s="14" t="s">
        <v>85</v>
      </c>
      <c r="F14" s="14">
        <v>10</v>
      </c>
      <c r="G14" s="14" t="s">
        <v>76</v>
      </c>
      <c r="H14" s="14">
        <v>1</v>
      </c>
      <c r="I14" s="14">
        <v>279.8</v>
      </c>
      <c r="K14" s="18">
        <v>11.150178174108692</v>
      </c>
      <c r="L14" s="18">
        <v>12.685696876771441</v>
      </c>
      <c r="M14" s="18">
        <v>76.164124949119866</v>
      </c>
      <c r="O14" s="18">
        <v>33.378315127863786</v>
      </c>
      <c r="P14" s="12">
        <v>2.9021463994574583</v>
      </c>
      <c r="Q14" s="12">
        <v>2.2297027063058259</v>
      </c>
      <c r="R14" s="12">
        <v>1.8485827532225294</v>
      </c>
      <c r="S14" s="12" t="s">
        <v>237</v>
      </c>
      <c r="T14" s="12" t="s">
        <v>237</v>
      </c>
      <c r="U14" s="18">
        <v>11.658288684526191</v>
      </c>
      <c r="V14" s="21">
        <v>298.87514958117276</v>
      </c>
      <c r="W14" s="12"/>
      <c r="X14" s="21">
        <v>4571.5912817856188</v>
      </c>
      <c r="Y14" s="12"/>
      <c r="Z14" s="21">
        <v>103.79233609264085</v>
      </c>
      <c r="AA14" s="21">
        <v>4334.7690954422678</v>
      </c>
      <c r="AB14" s="12"/>
      <c r="AC14" s="12">
        <v>8.0025758939858118</v>
      </c>
      <c r="AD14" s="18">
        <v>12.568094245778475</v>
      </c>
      <c r="AE14" s="12">
        <v>9.2951162303040125</v>
      </c>
      <c r="AF14" s="21">
        <v>13138.750914679873</v>
      </c>
      <c r="AG14" s="21">
        <v>820.0531328374268</v>
      </c>
      <c r="AH14" s="12">
        <v>6.4876559030165897</v>
      </c>
      <c r="AI14" s="21">
        <v>498.7178443739698</v>
      </c>
      <c r="AJ14" s="21">
        <v>887.31248876300924</v>
      </c>
      <c r="AK14" s="18">
        <v>20.43927401809859</v>
      </c>
      <c r="AL14" s="18">
        <v>11.938055363236908</v>
      </c>
      <c r="AM14" s="18">
        <v>30.643783910619991</v>
      </c>
      <c r="AN14" s="21">
        <v>370.75814391883108</v>
      </c>
      <c r="AO14" s="13"/>
      <c r="AP14" s="18">
        <v>22.833775105865254</v>
      </c>
      <c r="AQ14" s="18">
        <v>46.913273778648481</v>
      </c>
      <c r="AR14" s="21">
        <v>316.00307939511941</v>
      </c>
      <c r="AS14" s="21">
        <v>178.44021552485265</v>
      </c>
    </row>
    <row r="15" spans="1:45" x14ac:dyDescent="0.3">
      <c r="A15" s="14" t="s">
        <v>86</v>
      </c>
      <c r="B15" s="14" t="s">
        <v>87</v>
      </c>
      <c r="C15" s="14">
        <v>36.106133</v>
      </c>
      <c r="D15" s="14">
        <v>-94.558350000000004</v>
      </c>
      <c r="E15" s="14" t="s">
        <v>88</v>
      </c>
      <c r="F15" s="14">
        <v>10</v>
      </c>
      <c r="G15" s="14" t="s">
        <v>76</v>
      </c>
      <c r="H15" s="14">
        <v>1</v>
      </c>
      <c r="I15" s="14">
        <v>280</v>
      </c>
      <c r="K15" s="18">
        <v>33.773841417089848</v>
      </c>
      <c r="L15" s="18">
        <v>11.245951457475309</v>
      </c>
      <c r="M15" s="18">
        <v>54.980207125434845</v>
      </c>
      <c r="O15" s="18">
        <v>30.32943984377825</v>
      </c>
      <c r="P15" s="12">
        <v>2.943252049553156</v>
      </c>
      <c r="Q15" s="12">
        <v>4.5992334610898187</v>
      </c>
      <c r="R15" s="12">
        <v>1.938901289269414</v>
      </c>
      <c r="S15" s="12" t="s">
        <v>237</v>
      </c>
      <c r="T15" s="12">
        <v>5.4989002199560097</v>
      </c>
      <c r="U15" s="18">
        <v>8.1587092581483702</v>
      </c>
      <c r="V15" s="21">
        <v>356.56960510570406</v>
      </c>
      <c r="W15" s="12">
        <v>0.20963146297155955</v>
      </c>
      <c r="X15" s="21">
        <v>9216.5181006979492</v>
      </c>
      <c r="Y15" s="12">
        <v>5.1056572283735084</v>
      </c>
      <c r="Z15" s="21">
        <v>125.04089459914137</v>
      </c>
      <c r="AA15" s="21">
        <v>4238.3962819466133</v>
      </c>
      <c r="AB15" s="12">
        <v>2.5459414414224608</v>
      </c>
      <c r="AC15" s="12">
        <v>9.8527793023313919</v>
      </c>
      <c r="AD15" s="18">
        <v>17.181434922216258</v>
      </c>
      <c r="AE15" s="18">
        <v>11.693413927089349</v>
      </c>
      <c r="AF15" s="21">
        <v>14264.662155599419</v>
      </c>
      <c r="AG15" s="21">
        <v>937.50608691596551</v>
      </c>
      <c r="AH15" s="18">
        <v>13.496646679317127</v>
      </c>
      <c r="AI15" s="21">
        <v>675.49189386853902</v>
      </c>
      <c r="AJ15" s="21">
        <v>991.44722834725656</v>
      </c>
      <c r="AK15" s="18">
        <v>31.172852071213502</v>
      </c>
      <c r="AL15" s="18">
        <v>17.794644654908605</v>
      </c>
      <c r="AM15" s="18">
        <v>15.457932505785335</v>
      </c>
      <c r="AN15" s="21">
        <v>290.79151550868289</v>
      </c>
      <c r="AO15" s="13"/>
      <c r="AP15" s="18">
        <v>32.601161214126677</v>
      </c>
      <c r="AQ15" s="18">
        <v>59.022869504658622</v>
      </c>
      <c r="AR15" s="21">
        <v>291.01426149396622</v>
      </c>
      <c r="AS15" s="21">
        <v>163.38937613252543</v>
      </c>
    </row>
    <row r="16" spans="1:45" x14ac:dyDescent="0.3">
      <c r="A16" s="14" t="s">
        <v>89</v>
      </c>
      <c r="B16" s="14" t="s">
        <v>90</v>
      </c>
      <c r="C16" s="14">
        <v>36.105849999999997</v>
      </c>
      <c r="D16" s="14">
        <v>-94.559133000000003</v>
      </c>
      <c r="E16" s="14" t="s">
        <v>91</v>
      </c>
      <c r="F16" s="14">
        <v>10</v>
      </c>
      <c r="G16" s="14" t="s">
        <v>76</v>
      </c>
      <c r="H16" s="14">
        <v>1</v>
      </c>
      <c r="I16" s="14">
        <v>280.3</v>
      </c>
      <c r="K16" s="18">
        <v>12.334846898357911</v>
      </c>
      <c r="L16" s="18">
        <v>12.694953755882036</v>
      </c>
      <c r="M16" s="18">
        <v>74.970199345760051</v>
      </c>
      <c r="N16" s="14">
        <v>6.61</v>
      </c>
      <c r="O16" s="18">
        <v>38.368312885345965</v>
      </c>
      <c r="P16" s="12">
        <v>3.2984375087286146</v>
      </c>
      <c r="Q16" s="12">
        <v>3.5388203932022657</v>
      </c>
      <c r="R16" s="12">
        <v>2.3791276531938288</v>
      </c>
      <c r="S16" s="12">
        <v>48.585424372688202</v>
      </c>
      <c r="T16" s="12">
        <v>8.4191580841915812</v>
      </c>
      <c r="U16" s="18">
        <v>16.327113391756356</v>
      </c>
      <c r="V16" s="21">
        <v>369.36774401669351</v>
      </c>
      <c r="W16" s="12">
        <v>0.18637413276250134</v>
      </c>
      <c r="X16" s="21">
        <v>7124.0370751967948</v>
      </c>
      <c r="Y16" s="12">
        <v>5.0195596585191442</v>
      </c>
      <c r="Z16" s="21">
        <v>121.2558826723305</v>
      </c>
      <c r="AA16" s="21">
        <v>3865.2610110917576</v>
      </c>
      <c r="AB16" s="12">
        <v>2.6428014266534667</v>
      </c>
      <c r="AC16" s="12">
        <v>9.5488546002299586</v>
      </c>
      <c r="AD16" s="18">
        <v>16.823339765017355</v>
      </c>
      <c r="AE16" s="18">
        <v>11.155949776711044</v>
      </c>
      <c r="AF16" s="21">
        <v>14541.683716722884</v>
      </c>
      <c r="AG16" s="21">
        <v>1032.6934308773084</v>
      </c>
      <c r="AH16" s="18">
        <v>11.915897928956348</v>
      </c>
      <c r="AI16" s="21">
        <v>651.31100489468008</v>
      </c>
      <c r="AJ16" s="21">
        <v>984.38409859003036</v>
      </c>
      <c r="AK16" s="18">
        <v>28.550747896432519</v>
      </c>
      <c r="AL16" s="18">
        <v>16.587839616326548</v>
      </c>
      <c r="AM16" s="18">
        <v>25.196500689083784</v>
      </c>
      <c r="AN16" s="21">
        <v>280.10690818625932</v>
      </c>
      <c r="AO16" s="13"/>
      <c r="AP16" s="18">
        <v>28.796374218646811</v>
      </c>
      <c r="AQ16" s="18">
        <v>59.838665822684604</v>
      </c>
      <c r="AR16" s="21">
        <v>348.91152386658672</v>
      </c>
      <c r="AS16" s="21">
        <v>198.25708236597345</v>
      </c>
    </row>
    <row r="17" spans="1:45" x14ac:dyDescent="0.3">
      <c r="A17" s="14" t="s">
        <v>92</v>
      </c>
      <c r="B17" s="14" t="s">
        <v>93</v>
      </c>
      <c r="C17" s="14">
        <v>36.106433000000003</v>
      </c>
      <c r="D17" s="14">
        <v>-94.559782999999996</v>
      </c>
      <c r="E17" s="14" t="s">
        <v>94</v>
      </c>
      <c r="F17" s="14">
        <v>10</v>
      </c>
      <c r="G17" s="14" t="s">
        <v>76</v>
      </c>
      <c r="H17" s="14">
        <v>1</v>
      </c>
      <c r="I17" s="14">
        <v>280.10000000000002</v>
      </c>
      <c r="K17" s="18">
        <v>11.074010017295342</v>
      </c>
      <c r="L17" s="18">
        <v>16.095654173373187</v>
      </c>
      <c r="M17" s="18">
        <v>72.830335809331473</v>
      </c>
      <c r="O17" s="18">
        <v>39.867360799523041</v>
      </c>
      <c r="P17" s="12">
        <v>3.0238360461944063</v>
      </c>
      <c r="Q17" s="12">
        <v>4.0291941611677666</v>
      </c>
      <c r="R17" s="12">
        <v>2.2476025572722427</v>
      </c>
      <c r="S17" s="12" t="s">
        <v>237</v>
      </c>
      <c r="T17" s="12">
        <v>12.948705129487051</v>
      </c>
      <c r="U17" s="18">
        <v>13.489559264441336</v>
      </c>
      <c r="V17" s="21">
        <v>384.00358351582719</v>
      </c>
      <c r="W17" s="12">
        <v>0.19807079532166638</v>
      </c>
      <c r="X17" s="21">
        <v>9413.9243678949315</v>
      </c>
      <c r="Y17" s="12">
        <v>5.3374653436705879</v>
      </c>
      <c r="Z17" s="21">
        <v>123.59090250634362</v>
      </c>
      <c r="AA17" s="21">
        <v>4411.3297119663421</v>
      </c>
      <c r="AB17" s="12">
        <v>2.5698494022814669</v>
      </c>
      <c r="AC17" s="12">
        <v>9.6661185004161307</v>
      </c>
      <c r="AD17" s="18">
        <v>20.191760805415527</v>
      </c>
      <c r="AE17" s="18">
        <v>11.972279183887391</v>
      </c>
      <c r="AF17" s="21">
        <v>13511.897046230248</v>
      </c>
      <c r="AG17" s="21">
        <v>1321.7295611623581</v>
      </c>
      <c r="AH17" s="18">
        <v>17.241996810571354</v>
      </c>
      <c r="AI17" s="21">
        <v>800.85103627323713</v>
      </c>
      <c r="AJ17" s="21">
        <v>914.17126318192322</v>
      </c>
      <c r="AK17" s="18">
        <v>36.565106124983267</v>
      </c>
      <c r="AL17" s="18">
        <v>18.933357104262821</v>
      </c>
      <c r="AM17" s="18">
        <v>74.963153101911473</v>
      </c>
      <c r="AN17" s="21">
        <v>303.61321921283144</v>
      </c>
      <c r="AO17" s="13"/>
      <c r="AP17" s="18">
        <v>28.595216017682784</v>
      </c>
      <c r="AQ17" s="18">
        <v>64.64349225379803</v>
      </c>
      <c r="AR17" s="21">
        <v>350.40861072353994</v>
      </c>
      <c r="AS17" s="21">
        <v>199.20183259020629</v>
      </c>
    </row>
    <row r="18" spans="1:45" x14ac:dyDescent="0.3">
      <c r="A18" s="14" t="s">
        <v>95</v>
      </c>
      <c r="B18" s="14" t="s">
        <v>96</v>
      </c>
      <c r="C18" s="14">
        <v>36.107016999999999</v>
      </c>
      <c r="D18" s="14">
        <v>-94.559416999999996</v>
      </c>
      <c r="E18" s="14" t="s">
        <v>97</v>
      </c>
      <c r="F18" s="14">
        <v>10</v>
      </c>
      <c r="G18" s="14" t="s">
        <v>76</v>
      </c>
      <c r="H18" s="14">
        <v>1</v>
      </c>
      <c r="I18" s="14">
        <v>279.60000000000002</v>
      </c>
      <c r="K18" s="18">
        <v>19.824253163418064</v>
      </c>
      <c r="L18" s="18">
        <v>16.095131222805101</v>
      </c>
      <c r="M18" s="18">
        <v>64.080615613776843</v>
      </c>
      <c r="O18" s="18">
        <v>32.806287240120788</v>
      </c>
      <c r="P18" s="12">
        <v>3.0427715267215394</v>
      </c>
      <c r="Q18" s="12">
        <v>2.5793981404338986</v>
      </c>
      <c r="R18" s="12">
        <v>2.1689155422288855</v>
      </c>
      <c r="S18" s="12">
        <v>43.289177705573607</v>
      </c>
      <c r="T18" s="12">
        <v>8.1880894457959794</v>
      </c>
      <c r="U18" s="18">
        <v>9.4337262218076425</v>
      </c>
      <c r="V18" s="21">
        <v>212.2062637143427</v>
      </c>
      <c r="W18" s="12">
        <v>0.25477027486166792</v>
      </c>
      <c r="X18" s="21">
        <v>8238.5046061380745</v>
      </c>
      <c r="Y18" s="12">
        <v>4.8156557534135516</v>
      </c>
      <c r="Z18" s="21">
        <v>132.80243283293439</v>
      </c>
      <c r="AA18" s="21">
        <v>4976.8240994719172</v>
      </c>
      <c r="AB18" s="12">
        <v>2.7428675426717311</v>
      </c>
      <c r="AC18" s="12">
        <v>9.6943694345628941</v>
      </c>
      <c r="AD18" s="18">
        <v>17.445417418227979</v>
      </c>
      <c r="AE18" s="18">
        <v>11.054938152327534</v>
      </c>
      <c r="AF18" s="21">
        <v>13545.816659968628</v>
      </c>
      <c r="AG18" s="21">
        <v>996.95193005623605</v>
      </c>
      <c r="AH18" s="18">
        <v>14.624971362206578</v>
      </c>
      <c r="AI18" s="21">
        <v>690.45689221657472</v>
      </c>
      <c r="AJ18" s="21">
        <v>1230.9628640463529</v>
      </c>
      <c r="AK18" s="18">
        <v>37.250582312546143</v>
      </c>
      <c r="AL18" s="18">
        <v>18.105748664710806</v>
      </c>
      <c r="AM18" s="18">
        <v>15.486356871035406</v>
      </c>
      <c r="AN18" s="21">
        <v>283.11181787348147</v>
      </c>
      <c r="AO18" s="13"/>
      <c r="AP18" s="18">
        <v>27.818192674373488</v>
      </c>
      <c r="AQ18" s="18">
        <v>64.026339099422671</v>
      </c>
      <c r="AR18" s="21">
        <v>335.06182688472279</v>
      </c>
      <c r="AS18" s="21">
        <v>189.84501295459626</v>
      </c>
    </row>
    <row r="19" spans="1:45" x14ac:dyDescent="0.3">
      <c r="A19" s="14" t="s">
        <v>98</v>
      </c>
      <c r="B19" s="14" t="s">
        <v>99</v>
      </c>
      <c r="C19" s="14">
        <v>36.117519999999999</v>
      </c>
      <c r="D19" s="14">
        <v>-94.560059999999993</v>
      </c>
      <c r="E19" s="14" t="s">
        <v>100</v>
      </c>
      <c r="F19" s="14">
        <v>10</v>
      </c>
      <c r="G19" s="14" t="s">
        <v>76</v>
      </c>
      <c r="H19" s="14">
        <v>3</v>
      </c>
      <c r="I19" s="14">
        <v>278.8</v>
      </c>
      <c r="K19" s="18">
        <v>12.338351971012683</v>
      </c>
      <c r="L19" s="18">
        <v>16.092959330292995</v>
      </c>
      <c r="M19" s="18">
        <v>71.568688698694331</v>
      </c>
      <c r="O19" s="18">
        <v>33.191043083900226</v>
      </c>
      <c r="P19" s="12">
        <v>2.6867257015057677</v>
      </c>
      <c r="Q19" s="12">
        <v>2.0493168943685438</v>
      </c>
      <c r="R19" s="12">
        <v>1.9694748067182084</v>
      </c>
      <c r="S19" s="12" t="s">
        <v>237</v>
      </c>
      <c r="T19" s="12" t="s">
        <v>237</v>
      </c>
      <c r="U19" s="18">
        <v>13.048092699343574</v>
      </c>
      <c r="V19" s="21">
        <v>138.53556485355648</v>
      </c>
      <c r="W19" s="12"/>
      <c r="X19" s="21">
        <v>4051.6295494366491</v>
      </c>
      <c r="Y19" s="12"/>
      <c r="Z19" s="18">
        <v>86.771366687705481</v>
      </c>
      <c r="AA19" s="21">
        <v>3590.1591660052591</v>
      </c>
      <c r="AB19" s="12"/>
      <c r="AC19" s="12">
        <v>6.8018719671991583</v>
      </c>
      <c r="AD19" s="18">
        <v>11.010292751374056</v>
      </c>
      <c r="AE19" s="12">
        <v>7.5870432342975676</v>
      </c>
      <c r="AF19" s="21">
        <v>11049.264110832739</v>
      </c>
      <c r="AG19" s="21">
        <v>708.19841364602939</v>
      </c>
      <c r="AH19" s="12">
        <v>5.9181676710838982</v>
      </c>
      <c r="AI19" s="21">
        <v>429.16436362615536</v>
      </c>
      <c r="AJ19" s="21">
        <v>761.38415670772645</v>
      </c>
      <c r="AK19" s="18">
        <v>19.981658765536178</v>
      </c>
      <c r="AL19" s="12">
        <v>9.5892962432207192</v>
      </c>
      <c r="AM19" s="18">
        <v>26.490803684647158</v>
      </c>
      <c r="AN19" s="21">
        <v>261.52210998059894</v>
      </c>
      <c r="AO19" s="13"/>
      <c r="AP19" s="18">
        <v>24.14324322201697</v>
      </c>
      <c r="AQ19" s="18">
        <v>38.260640278532286</v>
      </c>
      <c r="AR19" s="21">
        <v>304.70306895177362</v>
      </c>
      <c r="AS19" s="21">
        <v>171.56249622878772</v>
      </c>
    </row>
    <row r="20" spans="1:45" x14ac:dyDescent="0.3">
      <c r="A20" s="14" t="s">
        <v>101</v>
      </c>
      <c r="B20" s="14" t="s">
        <v>102</v>
      </c>
      <c r="C20" s="14">
        <v>36.117620000000002</v>
      </c>
      <c r="D20" s="14">
        <v>-94.560760000000002</v>
      </c>
      <c r="E20" s="14" t="s">
        <v>103</v>
      </c>
      <c r="F20" s="14">
        <v>10</v>
      </c>
      <c r="G20" s="14" t="s">
        <v>76</v>
      </c>
      <c r="H20" s="14">
        <v>3</v>
      </c>
      <c r="I20" s="14">
        <v>278.39999999999998</v>
      </c>
      <c r="K20" s="18">
        <v>10.242674438642108</v>
      </c>
      <c r="L20" s="18">
        <v>18.580815308194289</v>
      </c>
      <c r="M20" s="18">
        <v>71.176510253163599</v>
      </c>
      <c r="O20" s="18">
        <v>37.019514064886692</v>
      </c>
      <c r="P20" s="12">
        <v>3.4140658662567089</v>
      </c>
      <c r="Q20" s="12">
        <v>4.6389175858966238</v>
      </c>
      <c r="R20" s="12">
        <v>2.9964043148222133</v>
      </c>
      <c r="S20" s="12">
        <v>41.695830416958302</v>
      </c>
      <c r="T20" s="12">
        <v>10.638936106389361</v>
      </c>
      <c r="U20" s="18">
        <v>19.772205117952819</v>
      </c>
      <c r="V20" s="21">
        <v>238.92976939002583</v>
      </c>
      <c r="W20" s="12">
        <v>0.19813953476968377</v>
      </c>
      <c r="X20" s="21">
        <v>8454.8212139999432</v>
      </c>
      <c r="Y20" s="12">
        <v>5.1009221032331018</v>
      </c>
      <c r="Z20" s="21">
        <v>127.20334130684152</v>
      </c>
      <c r="AA20" s="21">
        <v>4260.865458003258</v>
      </c>
      <c r="AB20" s="12">
        <v>2.437340279196655</v>
      </c>
      <c r="AC20" s="12">
        <v>9.3793513175301797</v>
      </c>
      <c r="AD20" s="18">
        <v>18.035381332386244</v>
      </c>
      <c r="AE20" s="18">
        <v>11.776167683654721</v>
      </c>
      <c r="AF20" s="21">
        <v>13343.280290290397</v>
      </c>
      <c r="AG20" s="21">
        <v>1013.1080086905604</v>
      </c>
      <c r="AH20" s="18">
        <v>14.877163403565044</v>
      </c>
      <c r="AI20" s="21">
        <v>713.37868932866093</v>
      </c>
      <c r="AJ20" s="21">
        <v>877.53006474507208</v>
      </c>
      <c r="AK20" s="18">
        <v>34.878463614334152</v>
      </c>
      <c r="AL20" s="18">
        <v>17.794885144757263</v>
      </c>
      <c r="AM20" s="18">
        <v>16.138292014899733</v>
      </c>
      <c r="AN20" s="21">
        <v>266.07207135909044</v>
      </c>
      <c r="AO20" s="13"/>
      <c r="AP20" s="18">
        <v>29.238614194792756</v>
      </c>
      <c r="AQ20" s="18">
        <v>53.358691620620064</v>
      </c>
      <c r="AR20" s="21">
        <v>325.20974830203761</v>
      </c>
      <c r="AS20" s="21">
        <v>183.86042159849205</v>
      </c>
    </row>
    <row r="21" spans="1:45" x14ac:dyDescent="0.3">
      <c r="A21" s="14" t="s">
        <v>104</v>
      </c>
      <c r="B21" s="14" t="s">
        <v>105</v>
      </c>
      <c r="C21" s="14">
        <v>36.116579999999999</v>
      </c>
      <c r="D21" s="14">
        <v>-94.560860000000005</v>
      </c>
      <c r="E21" s="14" t="s">
        <v>106</v>
      </c>
      <c r="F21" s="14">
        <v>10</v>
      </c>
      <c r="G21" s="14" t="s">
        <v>76</v>
      </c>
      <c r="H21" s="14">
        <v>3</v>
      </c>
      <c r="I21" s="14">
        <v>279.10000000000002</v>
      </c>
      <c r="K21" s="17"/>
      <c r="L21" s="17"/>
      <c r="M21" s="17"/>
      <c r="O21" s="18">
        <v>32.949584166886879</v>
      </c>
      <c r="P21" s="12">
        <v>2.9205567911130292</v>
      </c>
      <c r="Q21" s="12">
        <v>3.5094150974837524</v>
      </c>
      <c r="R21" s="12">
        <v>2.4874296560221105</v>
      </c>
      <c r="S21" s="12" t="s">
        <v>237</v>
      </c>
      <c r="T21" s="12">
        <v>12.58874112588741</v>
      </c>
      <c r="U21" s="18">
        <v>11.609651081414338</v>
      </c>
      <c r="V21" s="21">
        <v>208.394175144624</v>
      </c>
      <c r="W21" s="12">
        <v>0.21042016969342409</v>
      </c>
      <c r="X21" s="21">
        <v>8373.6410204768817</v>
      </c>
      <c r="Y21" s="12">
        <v>4.7808356662261602</v>
      </c>
      <c r="Z21" s="21">
        <v>112.80187387592143</v>
      </c>
      <c r="AA21" s="21">
        <v>3860.5446130962086</v>
      </c>
      <c r="AB21" s="12">
        <v>2.2972477241759144</v>
      </c>
      <c r="AC21" s="12">
        <v>8.840288809601855</v>
      </c>
      <c r="AD21" s="18">
        <v>15.736400918535592</v>
      </c>
      <c r="AE21" s="18">
        <v>10.083911637727162</v>
      </c>
      <c r="AF21" s="21">
        <v>12956.124257372225</v>
      </c>
      <c r="AG21" s="21">
        <v>972.04262890655389</v>
      </c>
      <c r="AH21" s="18">
        <v>11.898849103315591</v>
      </c>
      <c r="AI21" s="21">
        <v>611.58505477745655</v>
      </c>
      <c r="AJ21" s="21">
        <v>860.05459644021425</v>
      </c>
      <c r="AK21" s="18">
        <v>26.612512490159244</v>
      </c>
      <c r="AL21" s="18">
        <v>15.832314313123035</v>
      </c>
      <c r="AM21" s="18">
        <v>14.607284865516272</v>
      </c>
      <c r="AN21" s="21">
        <v>253.52023535443351</v>
      </c>
      <c r="AO21" s="13"/>
      <c r="AP21" s="18">
        <v>30.990694784828168</v>
      </c>
      <c r="AQ21" s="18">
        <v>50.534572979602956</v>
      </c>
      <c r="AR21" s="21">
        <v>220.58089629703571</v>
      </c>
      <c r="AS21" s="21">
        <v>122.14860079524838</v>
      </c>
    </row>
    <row r="22" spans="1:45" x14ac:dyDescent="0.3">
      <c r="A22" s="14" t="s">
        <v>107</v>
      </c>
      <c r="B22" s="14" t="s">
        <v>108</v>
      </c>
      <c r="C22" s="14">
        <v>36.11683</v>
      </c>
      <c r="D22" s="14">
        <v>-94.561310000000006</v>
      </c>
      <c r="E22" s="14" t="s">
        <v>109</v>
      </c>
      <c r="F22" s="14">
        <v>10</v>
      </c>
      <c r="G22" s="14" t="s">
        <v>76</v>
      </c>
      <c r="H22" s="14">
        <v>3</v>
      </c>
      <c r="I22" s="14">
        <v>279</v>
      </c>
      <c r="K22" s="18">
        <v>10.191311996481623</v>
      </c>
      <c r="L22" s="18">
        <v>18.591447933950381</v>
      </c>
      <c r="M22" s="18">
        <v>71.217240069567993</v>
      </c>
      <c r="O22" s="18">
        <v>32.686443851379856</v>
      </c>
      <c r="P22" s="12">
        <v>3.0342870030639753</v>
      </c>
      <c r="Q22" s="12">
        <v>2.668487856881101</v>
      </c>
      <c r="R22" s="12">
        <v>2.7078337330135889</v>
      </c>
      <c r="S22" s="12">
        <v>44.777611194402809</v>
      </c>
      <c r="T22" s="12">
        <v>10.308281953007832</v>
      </c>
      <c r="U22" s="18">
        <v>19.043707726651782</v>
      </c>
      <c r="V22" s="21">
        <v>225.00299341448815</v>
      </c>
      <c r="W22" s="12">
        <v>0.17403934445045879</v>
      </c>
      <c r="X22" s="21">
        <v>7318.6385101382539</v>
      </c>
      <c r="Y22" s="12">
        <v>5.4533824906754411</v>
      </c>
      <c r="Z22" s="21">
        <v>120.25552573655884</v>
      </c>
      <c r="AA22" s="21">
        <v>4014.1569376618318</v>
      </c>
      <c r="AB22" s="12">
        <v>2.4383098406510473</v>
      </c>
      <c r="AC22" s="12">
        <v>8.9205971578385892</v>
      </c>
      <c r="AD22" s="18">
        <v>15.825877839371426</v>
      </c>
      <c r="AE22" s="18">
        <v>10.578624415791523</v>
      </c>
      <c r="AF22" s="21">
        <v>14054.946815718587</v>
      </c>
      <c r="AG22" s="21">
        <v>919.7320412843726</v>
      </c>
      <c r="AH22" s="18">
        <v>11.366251092915444</v>
      </c>
      <c r="AI22" s="21">
        <v>605.64103759925797</v>
      </c>
      <c r="AJ22" s="21">
        <v>880.31714520803553</v>
      </c>
      <c r="AK22" s="18">
        <v>28.393388438939347</v>
      </c>
      <c r="AL22" s="18">
        <v>14.842110070491472</v>
      </c>
      <c r="AM22" s="18">
        <v>25.026792864419047</v>
      </c>
      <c r="AN22" s="21">
        <v>292.44743420874943</v>
      </c>
      <c r="AO22" s="13"/>
      <c r="AP22" s="18">
        <v>43.298342214138501</v>
      </c>
      <c r="AQ22" s="18">
        <v>55.029927752875963</v>
      </c>
      <c r="AR22" s="21">
        <v>269.40988251869629</v>
      </c>
      <c r="AS22" s="21">
        <v>150.68191742909511</v>
      </c>
    </row>
    <row r="23" spans="1:45" x14ac:dyDescent="0.3">
      <c r="A23" s="14" t="s">
        <v>110</v>
      </c>
      <c r="B23" s="14" t="s">
        <v>111</v>
      </c>
      <c r="C23" s="14">
        <v>36.11598</v>
      </c>
      <c r="D23" s="14">
        <v>-94.56183</v>
      </c>
      <c r="E23" s="14" t="s">
        <v>112</v>
      </c>
      <c r="F23" s="14">
        <v>10</v>
      </c>
      <c r="G23" s="14" t="s">
        <v>76</v>
      </c>
      <c r="H23" s="14">
        <v>3</v>
      </c>
      <c r="I23" s="14">
        <v>279.10000000000002</v>
      </c>
      <c r="K23" s="18">
        <v>9.9332987178975092</v>
      </c>
      <c r="L23" s="18">
        <v>12.681231776970087</v>
      </c>
      <c r="M23" s="18">
        <v>77.385469505132406</v>
      </c>
      <c r="N23" s="14">
        <v>6.55</v>
      </c>
      <c r="O23" s="18">
        <v>29.921776708057557</v>
      </c>
      <c r="P23" s="12">
        <v>2.4539672098247927</v>
      </c>
      <c r="Q23" s="12">
        <v>4.7290541891621674</v>
      </c>
      <c r="R23" s="12">
        <v>2.779536743876021</v>
      </c>
      <c r="S23" s="12" t="s">
        <v>237</v>
      </c>
      <c r="T23" s="12">
        <v>7.7294847010199312</v>
      </c>
      <c r="U23" s="18">
        <v>11.821373587923624</v>
      </c>
      <c r="V23" s="21">
        <v>245.29271206690564</v>
      </c>
      <c r="W23" s="12">
        <v>0.15294867339174503</v>
      </c>
      <c r="X23" s="21">
        <v>6046.9560428135701</v>
      </c>
      <c r="Y23" s="12">
        <v>4.4742301454816449</v>
      </c>
      <c r="Z23" s="21">
        <v>106.16198840988321</v>
      </c>
      <c r="AA23" s="21">
        <v>3713.8248853626587</v>
      </c>
      <c r="AB23" s="12">
        <v>2.0234024963017934</v>
      </c>
      <c r="AC23" s="12">
        <v>8.0612768991820136</v>
      </c>
      <c r="AD23" s="18">
        <v>13.853865821871361</v>
      </c>
      <c r="AE23" s="12">
        <v>9.5089680204903591</v>
      </c>
      <c r="AF23" s="21">
        <v>11056.776506430942</v>
      </c>
      <c r="AG23" s="21">
        <v>742.03621566650997</v>
      </c>
      <c r="AH23" s="12">
        <v>9.5179888501337437</v>
      </c>
      <c r="AI23" s="21">
        <v>536.57516441026587</v>
      </c>
      <c r="AJ23" s="21">
        <v>784.81724685616405</v>
      </c>
      <c r="AK23" s="18">
        <v>24.380464512244508</v>
      </c>
      <c r="AL23" s="18">
        <v>14.66715949668605</v>
      </c>
      <c r="AM23" s="18">
        <v>14.050499636569832</v>
      </c>
      <c r="AN23" s="21">
        <v>252.0075186397373</v>
      </c>
      <c r="AO23" s="13"/>
      <c r="AP23" s="18">
        <v>31.481276448497308</v>
      </c>
      <c r="AQ23" s="18">
        <v>45.574244934736548</v>
      </c>
      <c r="AR23" s="21">
        <v>270.20025904154636</v>
      </c>
      <c r="AS23" s="21">
        <v>151.08058748286706</v>
      </c>
    </row>
    <row r="24" spans="1:45" x14ac:dyDescent="0.3">
      <c r="A24" s="14" t="s">
        <v>113</v>
      </c>
      <c r="B24" s="14" t="s">
        <v>114</v>
      </c>
      <c r="C24" s="14">
        <v>36.115819999999999</v>
      </c>
      <c r="D24" s="14">
        <v>-94.561189999999996</v>
      </c>
      <c r="E24" s="14" t="s">
        <v>115</v>
      </c>
      <c r="F24" s="14">
        <v>10</v>
      </c>
      <c r="G24" s="14" t="s">
        <v>76</v>
      </c>
      <c r="H24" s="14">
        <v>3</v>
      </c>
      <c r="I24" s="14">
        <v>279.39999999999998</v>
      </c>
      <c r="K24" s="18">
        <v>21.256693181079605</v>
      </c>
      <c r="L24" s="18">
        <v>7.4993625541828948</v>
      </c>
      <c r="M24" s="18">
        <v>71.243944264737507</v>
      </c>
      <c r="O24" s="18">
        <v>34.227699868979485</v>
      </c>
      <c r="P24" s="12">
        <v>2.8207726624244138</v>
      </c>
      <c r="Q24" s="12">
        <v>3.0080948732469435</v>
      </c>
      <c r="R24" s="12">
        <v>2.4687656171914041</v>
      </c>
      <c r="S24" s="12">
        <v>53.57856857257098</v>
      </c>
      <c r="T24" s="12">
        <v>12.288771122887711</v>
      </c>
      <c r="U24" s="18">
        <v>11.395621605411351</v>
      </c>
      <c r="V24" s="21">
        <v>224.62415033986406</v>
      </c>
      <c r="W24" s="12">
        <v>0.21013054730383829</v>
      </c>
      <c r="X24" s="21">
        <v>6151.4897462048284</v>
      </c>
      <c r="Y24" s="12">
        <v>4.9345895565728535</v>
      </c>
      <c r="Z24" s="21">
        <v>108.75575859396173</v>
      </c>
      <c r="AA24" s="21">
        <v>3481.3480467537938</v>
      </c>
      <c r="AB24" s="12">
        <v>2.34151312886575</v>
      </c>
      <c r="AC24" s="12">
        <v>8.2770020951116372</v>
      </c>
      <c r="AD24" s="18">
        <v>13.781274851825746</v>
      </c>
      <c r="AE24" s="12">
        <v>9.7533424115636258</v>
      </c>
      <c r="AF24" s="21">
        <v>13170.067362932077</v>
      </c>
      <c r="AG24" s="21">
        <v>855.03938537250269</v>
      </c>
      <c r="AH24" s="12">
        <v>9.1181028096785983</v>
      </c>
      <c r="AI24" s="21">
        <v>539.29408270896795</v>
      </c>
      <c r="AJ24" s="21">
        <v>948.93293464784756</v>
      </c>
      <c r="AK24" s="18">
        <v>23.444714737627159</v>
      </c>
      <c r="AL24" s="18">
        <v>13.570109165819012</v>
      </c>
      <c r="AM24" s="18">
        <v>22.162447044655188</v>
      </c>
      <c r="AN24" s="21">
        <v>248.9191542498358</v>
      </c>
      <c r="AO24" s="13"/>
      <c r="AP24" s="18">
        <v>43.485861074512655</v>
      </c>
      <c r="AQ24" s="18">
        <v>54.602062221329419</v>
      </c>
      <c r="AR24" s="21">
        <v>289.13021819268704</v>
      </c>
      <c r="AS24" s="21">
        <v>162.27921764943113</v>
      </c>
    </row>
    <row r="25" spans="1:45" x14ac:dyDescent="0.3">
      <c r="A25" s="14" t="s">
        <v>116</v>
      </c>
      <c r="B25" s="14" t="s">
        <v>117</v>
      </c>
      <c r="C25" s="14">
        <v>36.115049999999997</v>
      </c>
      <c r="D25" s="14">
        <v>-94.561610000000002</v>
      </c>
      <c r="E25" s="14" t="s">
        <v>118</v>
      </c>
      <c r="F25" s="14">
        <v>10</v>
      </c>
      <c r="G25" s="14" t="s">
        <v>76</v>
      </c>
      <c r="H25" s="14">
        <v>3</v>
      </c>
      <c r="I25" s="14">
        <v>279.39999999999998</v>
      </c>
      <c r="K25" s="18">
        <v>14.956480076658949</v>
      </c>
      <c r="L25" s="18">
        <v>15.172083366605445</v>
      </c>
      <c r="M25" s="18">
        <v>69.871436556735603</v>
      </c>
      <c r="N25" s="14">
        <v>6.46</v>
      </c>
      <c r="O25" s="18">
        <v>34.101462161628135</v>
      </c>
      <c r="P25" s="12">
        <v>3.148487765899906</v>
      </c>
      <c r="Q25" s="12">
        <v>5.0466355762824788</v>
      </c>
      <c r="R25" s="12">
        <v>3.5382308845577208</v>
      </c>
      <c r="S25" s="12" t="s">
        <v>237</v>
      </c>
      <c r="T25" s="12">
        <v>9.8000000000000007</v>
      </c>
      <c r="U25" s="18">
        <v>10.279748100759699</v>
      </c>
      <c r="V25" s="21">
        <v>211.69332267093162</v>
      </c>
      <c r="W25" s="12">
        <v>0.18684443200687836</v>
      </c>
      <c r="X25" s="21">
        <v>7506.9415171872852</v>
      </c>
      <c r="Y25" s="12">
        <v>5.0911063470099327</v>
      </c>
      <c r="Z25" s="21">
        <v>109.49002830567575</v>
      </c>
      <c r="AA25" s="21">
        <v>3805.1252782119409</v>
      </c>
      <c r="AB25" s="12">
        <v>2.2473907113900933</v>
      </c>
      <c r="AC25" s="12">
        <v>8.5350900523401805</v>
      </c>
      <c r="AD25" s="18">
        <v>14.639281468997794</v>
      </c>
      <c r="AE25" s="18">
        <v>10.028328913979566</v>
      </c>
      <c r="AF25" s="21">
        <v>12352.37885762537</v>
      </c>
      <c r="AG25" s="21">
        <v>886.04298863833242</v>
      </c>
      <c r="AH25" s="18">
        <v>10.796534538648539</v>
      </c>
      <c r="AI25" s="21">
        <v>582.94047298024793</v>
      </c>
      <c r="AJ25" s="21">
        <v>871.21878375692097</v>
      </c>
      <c r="AK25" s="18">
        <v>24.503818186088218</v>
      </c>
      <c r="AL25" s="18">
        <v>15.295360213203766</v>
      </c>
      <c r="AM25" s="18">
        <v>14.07389507084711</v>
      </c>
      <c r="AN25" s="21">
        <v>259.89069650471896</v>
      </c>
      <c r="AO25" s="13"/>
      <c r="AP25" s="18">
        <v>31.010008229184876</v>
      </c>
      <c r="AQ25" s="18">
        <v>52.380542352560347</v>
      </c>
      <c r="AR25" s="21">
        <v>228.85075818036714</v>
      </c>
      <c r="AS25" s="21">
        <v>126.92925238871567</v>
      </c>
    </row>
    <row r="26" spans="1:45" x14ac:dyDescent="0.3">
      <c r="A26" s="14" t="s">
        <v>119</v>
      </c>
      <c r="B26" s="14" t="s">
        <v>120</v>
      </c>
      <c r="C26" s="14">
        <v>36.114980000000003</v>
      </c>
      <c r="D26" s="14">
        <v>-94.562380000000005</v>
      </c>
      <c r="E26" s="14" t="s">
        <v>121</v>
      </c>
      <c r="F26" s="14">
        <v>10</v>
      </c>
      <c r="G26" s="14" t="s">
        <v>76</v>
      </c>
      <c r="H26" s="14">
        <v>3</v>
      </c>
      <c r="I26" s="14">
        <v>279</v>
      </c>
      <c r="K26" s="18">
        <v>7.4113378662158755</v>
      </c>
      <c r="L26" s="18">
        <v>18.927239993907328</v>
      </c>
      <c r="M26" s="18">
        <v>73.661422139876805</v>
      </c>
      <c r="N26" s="14">
        <v>6.43</v>
      </c>
      <c r="O26" s="18">
        <v>29.738931672261408</v>
      </c>
      <c r="P26" s="12">
        <v>2.2291457727065906</v>
      </c>
      <c r="Q26" s="12">
        <v>4.4371897798061228</v>
      </c>
      <c r="R26" s="12">
        <v>3.0569430569430565</v>
      </c>
      <c r="S26" s="12">
        <v>42.085270155445592</v>
      </c>
      <c r="T26" s="12">
        <v>10.94817530411598</v>
      </c>
      <c r="U26" s="18">
        <v>14.791884869078553</v>
      </c>
      <c r="V26" s="21">
        <v>208.6350974930362</v>
      </c>
      <c r="W26" s="12">
        <v>0.1719591960971453</v>
      </c>
      <c r="X26" s="21">
        <v>8641.8846628126939</v>
      </c>
      <c r="Y26" s="12">
        <v>4.7400347690849411</v>
      </c>
      <c r="Z26" s="21">
        <v>117.07759980942663</v>
      </c>
      <c r="AA26" s="21">
        <v>3016.819382195727</v>
      </c>
      <c r="AB26" s="12">
        <v>2.3463218167469413</v>
      </c>
      <c r="AC26" s="12">
        <v>8.952523290143283</v>
      </c>
      <c r="AD26" s="18">
        <v>19.548280469657737</v>
      </c>
      <c r="AE26" s="18">
        <v>11.484827166002436</v>
      </c>
      <c r="AF26" s="21">
        <v>12503.902549077884</v>
      </c>
      <c r="AG26" s="21">
        <v>1034.8565835124812</v>
      </c>
      <c r="AH26" s="18">
        <v>15.45268325927972</v>
      </c>
      <c r="AI26" s="21">
        <v>666.27944731118828</v>
      </c>
      <c r="AJ26" s="21">
        <v>775.7550176598204</v>
      </c>
      <c r="AK26" s="18">
        <v>33.318936663780086</v>
      </c>
      <c r="AL26" s="18">
        <v>17.428371594438708</v>
      </c>
      <c r="AM26" s="18">
        <v>16.953846098542062</v>
      </c>
      <c r="AN26" s="21">
        <v>166.97545011025838</v>
      </c>
      <c r="AO26" s="13"/>
      <c r="AP26" s="18">
        <v>49.953327612905959</v>
      </c>
      <c r="AQ26" s="18">
        <v>53.688834078123406</v>
      </c>
      <c r="AR26" s="21">
        <v>255.09388733519782</v>
      </c>
      <c r="AS26" s="21">
        <v>142.19281807902831</v>
      </c>
    </row>
    <row r="27" spans="1:45" x14ac:dyDescent="0.3">
      <c r="A27" s="14" t="s">
        <v>122</v>
      </c>
      <c r="B27" s="14" t="s">
        <v>123</v>
      </c>
      <c r="C27" s="14">
        <v>36.111367000000001</v>
      </c>
      <c r="D27" s="14">
        <v>-94.560249999999996</v>
      </c>
      <c r="E27" s="14" t="s">
        <v>124</v>
      </c>
      <c r="F27" s="14">
        <v>10</v>
      </c>
      <c r="G27" s="14" t="s">
        <v>76</v>
      </c>
      <c r="H27" s="14">
        <v>2</v>
      </c>
      <c r="I27" s="14">
        <v>279.10000000000002</v>
      </c>
      <c r="K27" s="18">
        <v>26.145272598348136</v>
      </c>
      <c r="L27" s="18">
        <v>20.173975571512749</v>
      </c>
      <c r="M27" s="18">
        <v>53.680751830139116</v>
      </c>
      <c r="N27" s="14">
        <v>6.86</v>
      </c>
      <c r="O27" s="18">
        <v>15.106691749529682</v>
      </c>
      <c r="P27" s="12">
        <v>1.2640110363855908</v>
      </c>
      <c r="Q27" s="12">
        <v>2.508244229039672</v>
      </c>
      <c r="R27" s="12">
        <v>1.0295195575398148</v>
      </c>
      <c r="S27" s="12">
        <v>28.585707146426792</v>
      </c>
      <c r="T27" s="12">
        <v>4.8991834694217626</v>
      </c>
      <c r="U27" s="19">
        <v>1.2373437760373271</v>
      </c>
      <c r="V27" s="21">
        <v>104.35907643312105</v>
      </c>
      <c r="W27" s="12">
        <v>0.15813328276572799</v>
      </c>
      <c r="X27" s="21">
        <v>5513.3063208169224</v>
      </c>
      <c r="Y27" s="12">
        <v>3.8366512003063531</v>
      </c>
      <c r="Z27" s="18">
        <v>83.140338979859976</v>
      </c>
      <c r="AA27" s="21">
        <v>3041.3380220521044</v>
      </c>
      <c r="AB27" s="12">
        <v>1.7512365489460235</v>
      </c>
      <c r="AC27" s="12">
        <v>7.2375914719824754</v>
      </c>
      <c r="AD27" s="18">
        <v>14.751020611960834</v>
      </c>
      <c r="AE27" s="12">
        <v>7.3573428899992415</v>
      </c>
      <c r="AF27" s="21">
        <v>10733.10885297715</v>
      </c>
      <c r="AG27" s="21">
        <v>660.56519804276809</v>
      </c>
      <c r="AH27" s="12">
        <v>9.2430694930256312</v>
      </c>
      <c r="AI27" s="21">
        <v>446.32888769438239</v>
      </c>
      <c r="AJ27" s="21">
        <v>644.97704337272262</v>
      </c>
      <c r="AK27" s="18">
        <v>26.441829559577009</v>
      </c>
      <c r="AL27" s="18">
        <v>13.160169081845813</v>
      </c>
      <c r="AM27" s="18">
        <v>11.540249686160907</v>
      </c>
      <c r="AN27" s="21">
        <v>179.38660067272056</v>
      </c>
      <c r="AO27" s="13"/>
      <c r="AP27" s="18">
        <v>45.997133770075386</v>
      </c>
      <c r="AQ27" s="18">
        <v>36.861431146707524</v>
      </c>
      <c r="AR27" s="21">
        <v>113.94931151466761</v>
      </c>
      <c r="AS27" s="21">
        <v>61.906412754339392</v>
      </c>
    </row>
    <row r="28" spans="1:45" x14ac:dyDescent="0.3">
      <c r="A28" s="14" t="s">
        <v>125</v>
      </c>
      <c r="B28" s="14" t="s">
        <v>126</v>
      </c>
      <c r="C28" s="14">
        <v>36.111105999999999</v>
      </c>
      <c r="D28" s="14">
        <v>-94.559580999999994</v>
      </c>
      <c r="E28" s="14" t="s">
        <v>127</v>
      </c>
      <c r="F28" s="14">
        <v>10</v>
      </c>
      <c r="G28" s="14" t="s">
        <v>76</v>
      </c>
      <c r="H28" s="14">
        <v>4</v>
      </c>
      <c r="I28" s="14">
        <v>281.3</v>
      </c>
      <c r="K28" s="18">
        <v>22.396422445111956</v>
      </c>
      <c r="L28" s="18">
        <v>17.678035041460983</v>
      </c>
      <c r="M28" s="18">
        <v>59.925542513427061</v>
      </c>
      <c r="N28" s="14">
        <v>7.11</v>
      </c>
      <c r="O28" s="18">
        <v>18.708463275621046</v>
      </c>
      <c r="P28" s="12">
        <v>2.0415926959168242</v>
      </c>
      <c r="Q28" s="12">
        <v>2.937356379258667</v>
      </c>
      <c r="R28" s="12">
        <v>1.7490671641791045</v>
      </c>
      <c r="S28" s="12" t="s">
        <v>237</v>
      </c>
      <c r="T28" s="12">
        <v>6.8993100689931</v>
      </c>
      <c r="U28" s="18">
        <v>10.12207818175759</v>
      </c>
      <c r="V28" s="21">
        <v>155.44692737430171</v>
      </c>
      <c r="W28" s="12">
        <v>0.19136333290809407</v>
      </c>
      <c r="X28" s="21">
        <v>7835.2350277793803</v>
      </c>
      <c r="Y28" s="12">
        <v>4.2859196921831142</v>
      </c>
      <c r="Z28" s="18">
        <v>91.017043368275978</v>
      </c>
      <c r="AA28" s="21">
        <v>3308.429598038987</v>
      </c>
      <c r="AB28" s="12">
        <v>1.8967149535569903</v>
      </c>
      <c r="AC28" s="12">
        <v>7.7672880995413092</v>
      </c>
      <c r="AD28" s="18">
        <v>17.18463361679958</v>
      </c>
      <c r="AE28" s="12">
        <v>8.3350852878572912</v>
      </c>
      <c r="AF28" s="21">
        <v>11252.604527035661</v>
      </c>
      <c r="AG28" s="21">
        <v>929.2242383124767</v>
      </c>
      <c r="AH28" s="18">
        <v>12.237246705960564</v>
      </c>
      <c r="AI28" s="21">
        <v>576.0479912087003</v>
      </c>
      <c r="AJ28" s="21">
        <v>685.02089853168479</v>
      </c>
      <c r="AK28" s="18">
        <v>29.632844212677686</v>
      </c>
      <c r="AL28" s="18">
        <v>14.83793113863606</v>
      </c>
      <c r="AM28" s="18">
        <v>12.865392977700393</v>
      </c>
      <c r="AN28" s="21">
        <v>204.96405625612806</v>
      </c>
      <c r="AO28" s="13"/>
      <c r="AP28" s="18">
        <v>45.858391626756756</v>
      </c>
      <c r="AQ28" s="18">
        <v>42.848261874236393</v>
      </c>
      <c r="AR28" s="21">
        <v>201.65718278925814</v>
      </c>
      <c r="AS28" s="21">
        <v>111.27480916086908</v>
      </c>
    </row>
    <row r="29" spans="1:45" x14ac:dyDescent="0.3">
      <c r="A29" s="14" t="s">
        <v>128</v>
      </c>
      <c r="B29" s="14" t="s">
        <v>129</v>
      </c>
      <c r="C29" s="14">
        <v>36.112017000000002</v>
      </c>
      <c r="D29" s="14">
        <v>-94.558166999999997</v>
      </c>
      <c r="E29" s="14" t="s">
        <v>130</v>
      </c>
      <c r="F29" s="14">
        <v>10</v>
      </c>
      <c r="G29" s="14" t="s">
        <v>76</v>
      </c>
      <c r="H29" s="14">
        <v>4</v>
      </c>
      <c r="I29" s="14">
        <v>281.2</v>
      </c>
      <c r="K29" s="18">
        <v>30.028513380797328</v>
      </c>
      <c r="L29" s="18">
        <v>4.9979633299430484</v>
      </c>
      <c r="M29" s="18">
        <v>64.973523289259617</v>
      </c>
      <c r="N29" s="14">
        <v>6.47</v>
      </c>
      <c r="O29" s="18">
        <v>18.193319975456259</v>
      </c>
      <c r="P29" s="12">
        <v>3.1634154074859664</v>
      </c>
      <c r="Q29" s="12">
        <v>4.8791868021996336</v>
      </c>
      <c r="R29" s="12">
        <v>3.1977615669031674</v>
      </c>
      <c r="S29" s="12" t="s">
        <v>237</v>
      </c>
      <c r="T29" s="12">
        <v>6.93</v>
      </c>
      <c r="U29" s="18">
        <v>12.511569476841053</v>
      </c>
      <c r="V29" s="21">
        <v>210.63149480415672</v>
      </c>
      <c r="W29" s="12">
        <v>0.14691795945715275</v>
      </c>
      <c r="X29" s="21">
        <v>9570.6455485567221</v>
      </c>
      <c r="Y29" s="12">
        <v>3.9221607753036367</v>
      </c>
      <c r="Z29" s="21">
        <v>104.74556816322219</v>
      </c>
      <c r="AA29" s="21">
        <v>4251.2093778059461</v>
      </c>
      <c r="AB29" s="12">
        <v>2.0275506695203824</v>
      </c>
      <c r="AC29" s="12">
        <v>8.1088567066418218</v>
      </c>
      <c r="AD29" s="18">
        <v>18.004438731361223</v>
      </c>
      <c r="AE29" s="12">
        <v>9.151881036149474</v>
      </c>
      <c r="AF29" s="21">
        <v>12399.542745834215</v>
      </c>
      <c r="AG29" s="21">
        <v>1106.4609988236464</v>
      </c>
      <c r="AH29" s="18">
        <v>14.270506885087258</v>
      </c>
      <c r="AI29" s="21">
        <v>674.92288336359138</v>
      </c>
      <c r="AJ29" s="21">
        <v>765.05844923012671</v>
      </c>
      <c r="AK29" s="18">
        <v>32.511215372249204</v>
      </c>
      <c r="AL29" s="18">
        <v>14.93872993676905</v>
      </c>
      <c r="AM29" s="18">
        <v>13.53529587021394</v>
      </c>
      <c r="AN29" s="21">
        <v>290.62215326134566</v>
      </c>
      <c r="AO29" s="13"/>
      <c r="AP29" s="18">
        <v>32.381898577772823</v>
      </c>
      <c r="AQ29" s="18">
        <v>49.665724907568304</v>
      </c>
      <c r="AR29" s="21">
        <v>272.74541101356749</v>
      </c>
      <c r="AS29" s="21">
        <v>152.57008211300365</v>
      </c>
    </row>
    <row r="30" spans="1:45" x14ac:dyDescent="0.3">
      <c r="A30" s="14" t="s">
        <v>131</v>
      </c>
      <c r="B30" s="14" t="s">
        <v>132</v>
      </c>
      <c r="C30" s="14">
        <v>36.108249999999998</v>
      </c>
      <c r="D30" s="14">
        <v>-94.560182999999995</v>
      </c>
      <c r="E30" s="14" t="s">
        <v>133</v>
      </c>
      <c r="F30" s="14">
        <v>10</v>
      </c>
      <c r="G30" s="14" t="s">
        <v>76</v>
      </c>
      <c r="H30" s="14">
        <v>1</v>
      </c>
      <c r="I30" s="14">
        <v>280.10000000000002</v>
      </c>
      <c r="K30" s="18">
        <v>12.318851446938915</v>
      </c>
      <c r="L30" s="18">
        <v>20.195657933544286</v>
      </c>
      <c r="M30" s="18">
        <v>67.485490619516796</v>
      </c>
      <c r="O30" s="18">
        <v>30.744592295906653</v>
      </c>
      <c r="P30" s="12">
        <v>2.4378054504790549</v>
      </c>
      <c r="Q30" s="12">
        <v>3.5695240634582053</v>
      </c>
      <c r="R30" s="12">
        <v>2.8784648187633262</v>
      </c>
      <c r="S30" s="12" t="s">
        <v>237</v>
      </c>
      <c r="T30" s="12">
        <v>8.4599999999999991</v>
      </c>
      <c r="U30" s="18">
        <v>13.254839892039588</v>
      </c>
      <c r="V30" s="21">
        <v>245.51077414205909</v>
      </c>
      <c r="W30" s="12">
        <v>0.23495205179467396</v>
      </c>
      <c r="X30" s="21">
        <v>8166.8519168519178</v>
      </c>
      <c r="Y30" s="12">
        <v>5.1244892271162836</v>
      </c>
      <c r="Z30" s="21">
        <v>125.94411072191579</v>
      </c>
      <c r="AA30" s="21">
        <v>3774.9508041675981</v>
      </c>
      <c r="AB30" s="12">
        <v>2.5691429447874334</v>
      </c>
      <c r="AC30" s="12">
        <v>9.6880163784165774</v>
      </c>
      <c r="AD30" s="18">
        <v>16.500297312966108</v>
      </c>
      <c r="AE30" s="18">
        <v>11.225884353799895</v>
      </c>
      <c r="AF30" s="21">
        <v>14771.993938660606</v>
      </c>
      <c r="AG30" s="21">
        <v>908.32115752322011</v>
      </c>
      <c r="AH30" s="18">
        <v>12.404119327762833</v>
      </c>
      <c r="AI30" s="21">
        <v>616.59635069897786</v>
      </c>
      <c r="AJ30" s="21">
        <v>1211.7824617824622</v>
      </c>
      <c r="AK30" s="18">
        <v>28.471201439529459</v>
      </c>
      <c r="AL30" s="18">
        <v>17.906841501243669</v>
      </c>
      <c r="AM30" s="18">
        <v>16.178170793933134</v>
      </c>
      <c r="AN30" s="21">
        <v>218.0230359704949</v>
      </c>
      <c r="AO30" s="13"/>
      <c r="AP30" s="18">
        <v>38.387424834760957</v>
      </c>
      <c r="AQ30" s="18">
        <v>60.409350858651145</v>
      </c>
      <c r="AR30" s="21">
        <v>290.64088507923844</v>
      </c>
      <c r="AS30" s="21">
        <v>163.17315905277849</v>
      </c>
    </row>
    <row r="31" spans="1:45" x14ac:dyDescent="0.3">
      <c r="A31" s="14" t="s">
        <v>134</v>
      </c>
      <c r="B31" s="14" t="s">
        <v>135</v>
      </c>
      <c r="C31" s="14">
        <v>36.109699999999997</v>
      </c>
      <c r="D31" s="14">
        <v>-94.560282999999998</v>
      </c>
      <c r="E31" s="14" t="s">
        <v>136</v>
      </c>
      <c r="F31" s="14">
        <v>10</v>
      </c>
      <c r="G31" s="14" t="s">
        <v>76</v>
      </c>
      <c r="H31" s="14">
        <v>2</v>
      </c>
      <c r="I31" s="14">
        <v>279.60000000000002</v>
      </c>
      <c r="K31" s="18">
        <v>12.341856763395487</v>
      </c>
      <c r="L31" s="18">
        <v>17.691552283784493</v>
      </c>
      <c r="M31" s="18">
        <v>69.966590952820013</v>
      </c>
      <c r="O31" s="18">
        <v>29.982887712695504</v>
      </c>
      <c r="P31" s="12">
        <v>2.2090684631358655</v>
      </c>
      <c r="Q31" s="12">
        <v>1.9684908237018288</v>
      </c>
      <c r="R31" s="12">
        <v>1.5681704677875814</v>
      </c>
      <c r="S31" s="12">
        <v>33.393321335732864</v>
      </c>
      <c r="T31" s="12">
        <v>6.149180109318757</v>
      </c>
      <c r="U31" s="18">
        <v>6.6165383461653828</v>
      </c>
      <c r="V31" s="21">
        <v>135.56731921693967</v>
      </c>
      <c r="W31" s="12">
        <v>0.18985928317423756</v>
      </c>
      <c r="X31" s="21">
        <v>6685.9173570095809</v>
      </c>
      <c r="Y31" s="12">
        <v>4.1471163184122952</v>
      </c>
      <c r="Z31" s="18">
        <v>91.568967359162201</v>
      </c>
      <c r="AA31" s="21">
        <v>3492.7717617872527</v>
      </c>
      <c r="AB31" s="12">
        <v>1.8096413869110142</v>
      </c>
      <c r="AC31" s="12">
        <v>7.7150690580210943</v>
      </c>
      <c r="AD31" s="18">
        <v>13.594419422593127</v>
      </c>
      <c r="AE31" s="12">
        <v>7.9679055518465036</v>
      </c>
      <c r="AF31" s="21">
        <v>11543.296205553112</v>
      </c>
      <c r="AG31" s="21">
        <v>721.94250107898461</v>
      </c>
      <c r="AH31" s="12">
        <v>9.4797708969060679</v>
      </c>
      <c r="AI31" s="21">
        <v>496.39853689076625</v>
      </c>
      <c r="AJ31" s="21">
        <v>735.72327532458485</v>
      </c>
      <c r="AK31" s="18">
        <v>24.862289583617912</v>
      </c>
      <c r="AL31" s="18">
        <v>13.165844558620012</v>
      </c>
      <c r="AM31" s="18">
        <v>12.60049267576947</v>
      </c>
      <c r="AN31" s="21">
        <v>174.80041169119946</v>
      </c>
      <c r="AO31" s="13"/>
      <c r="AP31" s="18">
        <v>53.899215805196171</v>
      </c>
      <c r="AQ31" s="18">
        <v>37.334560246212163</v>
      </c>
      <c r="AR31" s="21">
        <v>272.30140536230431</v>
      </c>
      <c r="AS31" s="21">
        <v>152.31567838802852</v>
      </c>
    </row>
    <row r="32" spans="1:45" x14ac:dyDescent="0.3">
      <c r="A32" s="14" t="s">
        <v>137</v>
      </c>
      <c r="B32" s="14" t="s">
        <v>138</v>
      </c>
      <c r="C32" s="14">
        <v>36.110633</v>
      </c>
      <c r="D32" s="14">
        <v>-94.5608</v>
      </c>
      <c r="E32" s="14" t="s">
        <v>139</v>
      </c>
      <c r="F32" s="14">
        <v>10</v>
      </c>
      <c r="G32" s="14" t="s">
        <v>76</v>
      </c>
      <c r="H32" s="14">
        <v>2</v>
      </c>
      <c r="I32" s="14">
        <v>279.39999999999998</v>
      </c>
      <c r="K32" s="18">
        <v>12.324987378597108</v>
      </c>
      <c r="L32" s="18">
        <v>15.195669234268234</v>
      </c>
      <c r="M32" s="18">
        <v>72.479343387134662</v>
      </c>
      <c r="O32" s="18">
        <v>28.195699096650412</v>
      </c>
      <c r="P32" s="12">
        <v>2.3735037359966809</v>
      </c>
      <c r="Q32" s="12">
        <v>2.3389864392096755</v>
      </c>
      <c r="R32" s="12">
        <v>1.7093162734906038</v>
      </c>
      <c r="S32" s="12">
        <v>35.196480351964802</v>
      </c>
      <c r="T32" s="12">
        <v>6.4291427809625379</v>
      </c>
      <c r="U32" s="18">
        <v>10.384538728169579</v>
      </c>
      <c r="V32" s="21">
        <v>143.7437637198164</v>
      </c>
      <c r="W32" s="12">
        <v>0.20226330362458861</v>
      </c>
      <c r="X32" s="21">
        <v>7114.5402798074156</v>
      </c>
      <c r="Y32" s="12">
        <v>3.7255595603109701</v>
      </c>
      <c r="Z32" s="18">
        <v>96.580261436262646</v>
      </c>
      <c r="AA32" s="21">
        <v>3798.3349947487577</v>
      </c>
      <c r="AB32" s="12">
        <v>1.8879979647087815</v>
      </c>
      <c r="AC32" s="12">
        <v>7.89158293542756</v>
      </c>
      <c r="AD32" s="18">
        <v>14.065118792602023</v>
      </c>
      <c r="AE32" s="12">
        <v>8.2653506071024925</v>
      </c>
      <c r="AF32" s="21">
        <v>12400.563038448845</v>
      </c>
      <c r="AG32" s="21">
        <v>711.42932412679988</v>
      </c>
      <c r="AH32" s="12">
        <v>9.4849372243493715</v>
      </c>
      <c r="AI32" s="21">
        <v>495.38974572077626</v>
      </c>
      <c r="AJ32" s="21">
        <v>757.16692923674714</v>
      </c>
      <c r="AK32" s="18">
        <v>27.021362422936523</v>
      </c>
      <c r="AL32" s="18">
        <v>13.753386819273805</v>
      </c>
      <c r="AM32" s="18">
        <v>12.589829104874292</v>
      </c>
      <c r="AN32" s="21">
        <v>206.71558187488097</v>
      </c>
      <c r="AO32" s="13"/>
      <c r="AP32" s="18">
        <v>42.976757619919503</v>
      </c>
      <c r="AQ32" s="18">
        <v>40.523292354754879</v>
      </c>
      <c r="AR32" s="21">
        <v>276.2397928699462</v>
      </c>
      <c r="AS32" s="21">
        <v>154.64750906760324</v>
      </c>
    </row>
    <row r="33" spans="1:45" x14ac:dyDescent="0.3">
      <c r="A33" s="14" t="s">
        <v>140</v>
      </c>
      <c r="B33" s="14" t="s">
        <v>141</v>
      </c>
      <c r="C33" s="14">
        <v>36.111583000000003</v>
      </c>
      <c r="D33" s="14">
        <v>-94.561549999999997</v>
      </c>
      <c r="E33" s="14" t="s">
        <v>142</v>
      </c>
      <c r="F33" s="14">
        <v>10</v>
      </c>
      <c r="G33" s="14" t="s">
        <v>76</v>
      </c>
      <c r="H33" s="14">
        <v>2</v>
      </c>
      <c r="I33" s="14">
        <v>279.5</v>
      </c>
      <c r="K33" s="18">
        <v>14.884477156422262</v>
      </c>
      <c r="L33" s="18">
        <v>13.936168352909736</v>
      </c>
      <c r="M33" s="18">
        <v>71.179354490668004</v>
      </c>
      <c r="O33" s="18">
        <v>29.972978304652415</v>
      </c>
      <c r="P33" s="12">
        <v>2.8347979649329313</v>
      </c>
      <c r="Q33" s="12">
        <v>1.8996200759848032</v>
      </c>
      <c r="R33" s="12">
        <v>1.9890054972513744</v>
      </c>
      <c r="S33" s="12" t="s">
        <v>237</v>
      </c>
      <c r="T33" s="12" t="s">
        <v>237</v>
      </c>
      <c r="U33" s="18">
        <v>8.2097580483903219</v>
      </c>
      <c r="V33" s="21">
        <v>203.01815280271293</v>
      </c>
      <c r="W33" s="12"/>
      <c r="X33" s="21">
        <v>4658.6959179397099</v>
      </c>
      <c r="Y33" s="12">
        <v>0</v>
      </c>
      <c r="Z33" s="21">
        <v>108.41638017171033</v>
      </c>
      <c r="AA33" s="21">
        <v>3947.786160304885</v>
      </c>
      <c r="AB33" s="12"/>
      <c r="AC33" s="12">
        <v>7.7742544079311307</v>
      </c>
      <c r="AD33" s="18">
        <v>12.948430357020078</v>
      </c>
      <c r="AE33" s="12">
        <v>9.5854361678122242</v>
      </c>
      <c r="AF33" s="21">
        <v>13249.303184017099</v>
      </c>
      <c r="AG33" s="21">
        <v>672.40728324260431</v>
      </c>
      <c r="AH33" s="12">
        <v>6.3138157240882808</v>
      </c>
      <c r="AI33" s="21">
        <v>469.36601366935531</v>
      </c>
      <c r="AJ33" s="21">
        <v>869.25055056194481</v>
      </c>
      <c r="AK33" s="18">
        <v>22.000375957826233</v>
      </c>
      <c r="AL33" s="18">
        <v>12.141258908962199</v>
      </c>
      <c r="AM33" s="18">
        <v>31.257967530396179</v>
      </c>
      <c r="AN33" s="21">
        <v>328.18043871091265</v>
      </c>
      <c r="AO33" s="13"/>
      <c r="AP33" s="18">
        <v>31.804228404</v>
      </c>
      <c r="AQ33" s="18">
        <v>46.639801827387792</v>
      </c>
      <c r="AR33" s="21">
        <v>203.59883711689423</v>
      </c>
      <c r="AS33" s="21">
        <v>112.44342588942283</v>
      </c>
    </row>
    <row r="34" spans="1:45" x14ac:dyDescent="0.3">
      <c r="A34" s="14" t="s">
        <v>143</v>
      </c>
      <c r="B34" s="14" t="s">
        <v>144</v>
      </c>
      <c r="C34" s="14">
        <v>36.111533000000001</v>
      </c>
      <c r="D34" s="14">
        <v>-94.562200000000004</v>
      </c>
      <c r="E34" s="14" t="s">
        <v>145</v>
      </c>
      <c r="F34" s="14">
        <v>10</v>
      </c>
      <c r="G34" s="14" t="s">
        <v>76</v>
      </c>
      <c r="H34" s="14">
        <v>2</v>
      </c>
      <c r="I34" s="14">
        <v>279.89999999999998</v>
      </c>
      <c r="K34" s="18">
        <v>37.311283968885597</v>
      </c>
      <c r="L34" s="18">
        <v>13.94748945189866</v>
      </c>
      <c r="M34" s="18">
        <v>48.741226579215741</v>
      </c>
      <c r="O34" s="18">
        <v>23.276572015229927</v>
      </c>
      <c r="P34" s="12">
        <v>2.4188381731888242</v>
      </c>
      <c r="Q34" s="12">
        <v>2.709096967677441</v>
      </c>
      <c r="R34" s="12">
        <v>2.3076923076923075</v>
      </c>
      <c r="S34" s="12">
        <v>41.985305143199874</v>
      </c>
      <c r="T34" s="12">
        <v>8.9291070892910707</v>
      </c>
      <c r="U34" s="18">
        <v>7.3540510839521787</v>
      </c>
      <c r="V34" s="21">
        <v>143.45747858992232</v>
      </c>
      <c r="W34" s="12">
        <v>0.13753600713302302</v>
      </c>
      <c r="X34" s="21">
        <v>8027.3672613429098</v>
      </c>
      <c r="Y34" s="12">
        <v>4.0416807737545222</v>
      </c>
      <c r="Z34" s="18">
        <v>90.264375910184</v>
      </c>
      <c r="AA34" s="21">
        <v>3551.5552713659258</v>
      </c>
      <c r="AB34" s="12">
        <v>1.7749676899545348</v>
      </c>
      <c r="AC34" s="12">
        <v>6.8493550619044266</v>
      </c>
      <c r="AD34" s="18">
        <v>17.12988785614845</v>
      </c>
      <c r="AE34" s="12">
        <v>8.2334852462176311</v>
      </c>
      <c r="AF34" s="21">
        <v>11839.801537057696</v>
      </c>
      <c r="AG34" s="21">
        <v>930.0560369526288</v>
      </c>
      <c r="AH34" s="18">
        <v>11.124939907804906</v>
      </c>
      <c r="AI34" s="21">
        <v>566.74533651986656</v>
      </c>
      <c r="AJ34" s="21">
        <v>599.5393684082087</v>
      </c>
      <c r="AK34" s="18">
        <v>26.521028016118905</v>
      </c>
      <c r="AL34" s="18">
        <v>14.628961166803101</v>
      </c>
      <c r="AM34" s="18">
        <v>12.750093432450251</v>
      </c>
      <c r="AN34" s="21">
        <v>207.30896246958383</v>
      </c>
      <c r="AO34" s="13"/>
      <c r="AP34" s="18">
        <v>64.019038975129945</v>
      </c>
      <c r="AQ34" s="18">
        <v>38.497287950071282</v>
      </c>
      <c r="AR34" s="21">
        <v>224.61170848267628</v>
      </c>
      <c r="AS34" s="21">
        <v>124.48856908391076</v>
      </c>
    </row>
    <row r="35" spans="1:45" x14ac:dyDescent="0.3">
      <c r="A35" s="14" t="s">
        <v>146</v>
      </c>
      <c r="B35" s="14" t="s">
        <v>147</v>
      </c>
      <c r="C35" s="14">
        <v>36.110599999999998</v>
      </c>
      <c r="D35" s="14">
        <v>-94.561383000000006</v>
      </c>
      <c r="E35" s="14" t="s">
        <v>148</v>
      </c>
      <c r="F35" s="14">
        <v>10</v>
      </c>
      <c r="G35" s="14" t="s">
        <v>76</v>
      </c>
      <c r="H35" s="14">
        <v>2</v>
      </c>
      <c r="I35" s="14">
        <v>279.8</v>
      </c>
      <c r="K35" s="18">
        <v>6.0523486912827167</v>
      </c>
      <c r="L35" s="18">
        <v>17.699557511062224</v>
      </c>
      <c r="M35" s="18">
        <v>76.248093797655059</v>
      </c>
      <c r="O35" s="18">
        <v>28.489920413222837</v>
      </c>
      <c r="P35" s="12">
        <v>2.3170017724381893</v>
      </c>
      <c r="Q35" s="12">
        <v>1.9793402199266912</v>
      </c>
      <c r="R35" s="12">
        <v>1.6386890487609911</v>
      </c>
      <c r="S35" s="12" t="s">
        <v>237</v>
      </c>
      <c r="T35" s="12" t="s">
        <v>237</v>
      </c>
      <c r="U35" s="18">
        <v>7.6200019982016176</v>
      </c>
      <c r="V35" s="21">
        <v>219.14936102236422</v>
      </c>
      <c r="W35" s="12"/>
      <c r="X35" s="21">
        <v>4691.3870581453302</v>
      </c>
      <c r="Y35" s="12"/>
      <c r="Z35" s="18">
        <v>91.40772976313491</v>
      </c>
      <c r="AA35" s="21">
        <v>2953.0955379127886</v>
      </c>
      <c r="AB35" s="12">
        <v>1.058544780721026</v>
      </c>
      <c r="AC35" s="12">
        <v>6.6499303339597953</v>
      </c>
      <c r="AD35" s="18">
        <v>11.934133860172974</v>
      </c>
      <c r="AE35" s="12">
        <v>7.7160986102420388</v>
      </c>
      <c r="AF35" s="21">
        <v>11449.929781806726</v>
      </c>
      <c r="AG35" s="21">
        <v>691.0048486917741</v>
      </c>
      <c r="AH35" s="12">
        <v>7.1553232455770788</v>
      </c>
      <c r="AI35" s="21">
        <v>456.37159295406786</v>
      </c>
      <c r="AJ35" s="21">
        <v>751.59370076685047</v>
      </c>
      <c r="AK35" s="18">
        <v>22.250517118163739</v>
      </c>
      <c r="AL35" s="18">
        <v>10.623341064558671</v>
      </c>
      <c r="AM35" s="18">
        <v>26.646583411494905</v>
      </c>
      <c r="AN35" s="21">
        <v>192.77465959517176</v>
      </c>
      <c r="AO35" s="13"/>
      <c r="AP35" s="18">
        <v>17.943466346532691</v>
      </c>
      <c r="AQ35" s="18">
        <v>43.730388523271309</v>
      </c>
      <c r="AR35" s="21">
        <v>179.826744996515</v>
      </c>
      <c r="AS35" s="21">
        <v>98.841395286728101</v>
      </c>
    </row>
    <row r="36" spans="1:45" x14ac:dyDescent="0.3">
      <c r="A36" s="14" t="s">
        <v>149</v>
      </c>
      <c r="B36" s="14" t="s">
        <v>150</v>
      </c>
      <c r="C36" s="14">
        <v>36.109743999999999</v>
      </c>
      <c r="D36" s="14">
        <v>-94.561172400000004</v>
      </c>
      <c r="E36" s="14" t="s">
        <v>151</v>
      </c>
      <c r="F36" s="14">
        <v>10</v>
      </c>
      <c r="G36" s="14" t="s">
        <v>76</v>
      </c>
      <c r="H36" s="14">
        <v>2</v>
      </c>
      <c r="I36" s="14">
        <v>279.89999999999998</v>
      </c>
      <c r="K36" s="18">
        <v>22.508136645652201</v>
      </c>
      <c r="L36" s="18">
        <v>8.7490813464586239</v>
      </c>
      <c r="M36" s="18">
        <v>68.742782007889176</v>
      </c>
      <c r="O36" s="18">
        <v>31.811613571440517</v>
      </c>
      <c r="P36" s="12">
        <v>2.6163522012578615</v>
      </c>
      <c r="Q36" s="12">
        <v>1.9086639352453281</v>
      </c>
      <c r="R36" s="12">
        <v>1.5792630105950558</v>
      </c>
      <c r="S36" s="12" t="s">
        <v>237</v>
      </c>
      <c r="T36" s="12" t="s">
        <v>237</v>
      </c>
      <c r="U36" s="18">
        <v>27.747496752273406</v>
      </c>
      <c r="V36" s="21">
        <v>205.81210191082806</v>
      </c>
      <c r="W36" s="12"/>
      <c r="X36" s="21">
        <v>4400.9018027290176</v>
      </c>
      <c r="Y36" s="12"/>
      <c r="Z36" s="18">
        <v>91.834101517236391</v>
      </c>
      <c r="AA36" s="21">
        <v>3481.0055256136779</v>
      </c>
      <c r="AB36" s="12">
        <v>1.0294988569593346</v>
      </c>
      <c r="AC36" s="12">
        <v>7.083005535431913</v>
      </c>
      <c r="AD36" s="18">
        <v>11.645997227353686</v>
      </c>
      <c r="AE36" s="12">
        <v>8.1701314085901835</v>
      </c>
      <c r="AF36" s="21">
        <v>11782.232833603135</v>
      </c>
      <c r="AG36" s="21">
        <v>697.58504350403814</v>
      </c>
      <c r="AH36" s="12">
        <v>6.4406534282260344</v>
      </c>
      <c r="AI36" s="21">
        <v>446.1888540721788</v>
      </c>
      <c r="AJ36" s="21">
        <v>726.68557419383978</v>
      </c>
      <c r="AK36" s="18">
        <v>22.215103495623044</v>
      </c>
      <c r="AL36" s="18">
        <v>10.649873090200682</v>
      </c>
      <c r="AM36" s="18">
        <v>27.93998043306927</v>
      </c>
      <c r="AN36" s="21">
        <v>276.52454654651575</v>
      </c>
      <c r="AO36" s="13"/>
      <c r="AP36" s="18">
        <v>34.272722267254828</v>
      </c>
      <c r="AQ36" s="18">
        <v>40.983710925912156</v>
      </c>
      <c r="AR36" s="21">
        <v>266.25386996904018</v>
      </c>
      <c r="AS36" s="21">
        <v>148.73903405114078</v>
      </c>
    </row>
    <row r="37" spans="1:45" x14ac:dyDescent="0.3">
      <c r="A37" s="14" t="s">
        <v>152</v>
      </c>
      <c r="B37" s="14" t="s">
        <v>153</v>
      </c>
      <c r="C37" s="14">
        <v>36.108533000000001</v>
      </c>
      <c r="D37" s="14">
        <v>-94.560900000000004</v>
      </c>
      <c r="E37" s="14" t="s">
        <v>154</v>
      </c>
      <c r="F37" s="14">
        <v>10</v>
      </c>
      <c r="G37" s="14" t="s">
        <v>76</v>
      </c>
      <c r="H37" s="14">
        <v>1</v>
      </c>
      <c r="I37" s="14">
        <v>280.39999999999998</v>
      </c>
      <c r="K37" s="18">
        <v>12.358938613782231</v>
      </c>
      <c r="L37" s="18">
        <v>17.688104749555926</v>
      </c>
      <c r="M37" s="18">
        <v>69.952956636661838</v>
      </c>
      <c r="O37" s="18">
        <v>29.474319995656646</v>
      </c>
      <c r="P37" s="12">
        <v>2.3077131919745919</v>
      </c>
      <c r="Q37" s="12">
        <v>2.2290340852297335</v>
      </c>
      <c r="R37" s="12">
        <v>2.25962339610065</v>
      </c>
      <c r="S37" s="12" t="s">
        <v>237</v>
      </c>
      <c r="T37" s="12" t="s">
        <v>237</v>
      </c>
      <c r="U37" s="18">
        <v>9.6420017992203366</v>
      </c>
      <c r="V37" s="21">
        <v>519.68425259792173</v>
      </c>
      <c r="W37" s="12"/>
      <c r="X37" s="21">
        <v>4232.6052502993853</v>
      </c>
      <c r="Y37" s="12"/>
      <c r="Z37" s="21">
        <v>102.59310069871096</v>
      </c>
      <c r="AA37" s="21">
        <v>3762.0421260321123</v>
      </c>
      <c r="AB37" s="12">
        <v>1.2028115318053987</v>
      </c>
      <c r="AC37" s="12">
        <v>8.0431503464205321</v>
      </c>
      <c r="AD37" s="18">
        <v>12.052522119105195</v>
      </c>
      <c r="AE37" s="12">
        <v>9.2965505204047965</v>
      </c>
      <c r="AF37" s="21">
        <v>12956.638782045728</v>
      </c>
      <c r="AG37" s="21">
        <v>691.92171580124455</v>
      </c>
      <c r="AH37" s="12">
        <v>5.3825871518293988</v>
      </c>
      <c r="AI37" s="21">
        <v>456.71337407076129</v>
      </c>
      <c r="AJ37" s="21">
        <v>852.662688724399</v>
      </c>
      <c r="AK37" s="18">
        <v>17.456187871842449</v>
      </c>
      <c r="AL37" s="18">
        <v>11.817107428965825</v>
      </c>
      <c r="AM37" s="18">
        <v>30.369382548017036</v>
      </c>
      <c r="AN37" s="21">
        <v>283.35533439550511</v>
      </c>
      <c r="AO37" s="13"/>
      <c r="AP37" s="18">
        <v>38.560304980802151</v>
      </c>
      <c r="AQ37" s="18">
        <v>47.339875078940466</v>
      </c>
      <c r="AR37" s="21">
        <v>252.89652417099472</v>
      </c>
      <c r="AS37" s="21">
        <v>140.90773489968109</v>
      </c>
    </row>
    <row r="38" spans="1:45" x14ac:dyDescent="0.3">
      <c r="A38" s="14" t="s">
        <v>155</v>
      </c>
      <c r="B38" s="14" t="s">
        <v>156</v>
      </c>
      <c r="C38" s="14">
        <v>36.116366999999997</v>
      </c>
      <c r="D38" s="14">
        <v>-94.556019000000006</v>
      </c>
      <c r="E38" s="14" t="s">
        <v>157</v>
      </c>
      <c r="F38" s="14">
        <v>10</v>
      </c>
      <c r="G38" s="14" t="s">
        <v>76</v>
      </c>
      <c r="H38" s="14">
        <v>4</v>
      </c>
      <c r="I38" s="14">
        <v>279.2</v>
      </c>
      <c r="K38" s="18">
        <v>11.178569021341604</v>
      </c>
      <c r="L38" s="18">
        <v>17.674416282431181</v>
      </c>
      <c r="M38" s="18">
        <v>71.147014696227217</v>
      </c>
      <c r="O38" s="18">
        <v>34.75438833175938</v>
      </c>
      <c r="P38" s="12">
        <v>2.61925078690546</v>
      </c>
      <c r="Q38" s="12">
        <v>2.2195560887822436</v>
      </c>
      <c r="R38" s="12">
        <v>2.1997067057725634</v>
      </c>
      <c r="S38" s="12" t="s">
        <v>237</v>
      </c>
      <c r="T38" s="12">
        <v>8.8782243551289746</v>
      </c>
      <c r="U38" s="18">
        <v>6.5048488077794051</v>
      </c>
      <c r="V38" s="21">
        <v>268.20993813610062</v>
      </c>
      <c r="W38" s="12">
        <v>0.19917527433921964</v>
      </c>
      <c r="X38" s="21">
        <v>7148.5118810673684</v>
      </c>
      <c r="Y38" s="12">
        <v>4.80828100774111</v>
      </c>
      <c r="Z38" s="21">
        <v>106.48884093451562</v>
      </c>
      <c r="AA38" s="21">
        <v>4048.1277054705665</v>
      </c>
      <c r="AB38" s="12">
        <v>2.057906294274725</v>
      </c>
      <c r="AC38" s="12">
        <v>8.6813263987617741</v>
      </c>
      <c r="AD38" s="18">
        <v>14.312341151197792</v>
      </c>
      <c r="AE38" s="12">
        <v>9.3639942918967609</v>
      </c>
      <c r="AF38" s="21">
        <v>12725.888999626319</v>
      </c>
      <c r="AG38" s="21">
        <v>777.07962748091836</v>
      </c>
      <c r="AH38" s="12">
        <v>9.8731112027782029</v>
      </c>
      <c r="AI38" s="21">
        <v>563.52412292979602</v>
      </c>
      <c r="AJ38" s="21">
        <v>838.57690759839795</v>
      </c>
      <c r="AK38" s="18">
        <v>25.092817724722785</v>
      </c>
      <c r="AL38" s="18">
        <v>14.698747308744663</v>
      </c>
      <c r="AM38" s="18">
        <v>13.594758883985916</v>
      </c>
      <c r="AN38" s="21">
        <v>251.29059253369846</v>
      </c>
      <c r="AO38" s="13"/>
      <c r="AP38" s="18">
        <v>39.549002013564845</v>
      </c>
      <c r="AQ38" s="18">
        <v>43.538020296256107</v>
      </c>
      <c r="AR38" s="21">
        <v>248.32817646471699</v>
      </c>
      <c r="AS38" s="21">
        <v>138.24451769453029</v>
      </c>
    </row>
    <row r="39" spans="1:45" x14ac:dyDescent="0.3">
      <c r="A39" s="14" t="s">
        <v>158</v>
      </c>
      <c r="B39" s="14" t="s">
        <v>159</v>
      </c>
      <c r="C39" s="14">
        <v>36.115859</v>
      </c>
      <c r="D39" s="14">
        <v>-94.554721000000001</v>
      </c>
      <c r="E39" s="14" t="s">
        <v>160</v>
      </c>
      <c r="F39" s="14">
        <v>10</v>
      </c>
      <c r="G39" s="14" t="s">
        <v>76</v>
      </c>
      <c r="H39" s="14">
        <v>4</v>
      </c>
      <c r="I39" s="14">
        <v>279.60000000000002</v>
      </c>
      <c r="K39" s="18">
        <v>13.638736198555989</v>
      </c>
      <c r="L39" s="18">
        <v>16.433114974363843</v>
      </c>
      <c r="M39" s="18">
        <v>69.928148827080165</v>
      </c>
      <c r="O39" s="18">
        <v>36.795788133945358</v>
      </c>
      <c r="P39" s="12">
        <v>2.3273311211054222</v>
      </c>
      <c r="Q39" s="12">
        <v>3.0791788856304985</v>
      </c>
      <c r="R39" s="12">
        <v>2.7472527472527473</v>
      </c>
      <c r="S39" s="12">
        <v>37.684926029588169</v>
      </c>
      <c r="T39" s="12">
        <v>10.358618850819891</v>
      </c>
      <c r="U39" s="18">
        <v>11.017536965498866</v>
      </c>
      <c r="V39" s="21">
        <v>183.25024925224329</v>
      </c>
      <c r="W39" s="12">
        <v>0.17944909304914367</v>
      </c>
      <c r="X39" s="21">
        <v>8665.8627257368971</v>
      </c>
      <c r="Y39" s="12">
        <v>4.2766823784410288</v>
      </c>
      <c r="Z39" s="21">
        <v>101.69624759873288</v>
      </c>
      <c r="AA39" s="21">
        <v>3892.4483962619297</v>
      </c>
      <c r="AB39" s="12">
        <v>2.008949487215884</v>
      </c>
      <c r="AC39" s="12">
        <v>8.3850736507937569</v>
      </c>
      <c r="AD39" s="18">
        <v>16.355561547537864</v>
      </c>
      <c r="AE39" s="12">
        <v>9.1140280099511735</v>
      </c>
      <c r="AF39" s="21">
        <v>12984.368093544732</v>
      </c>
      <c r="AG39" s="21">
        <v>1010.0240507010358</v>
      </c>
      <c r="AH39" s="18">
        <v>12.680591530159511</v>
      </c>
      <c r="AI39" s="21">
        <v>615.86764947501547</v>
      </c>
      <c r="AJ39" s="21">
        <v>788.96283196765</v>
      </c>
      <c r="AK39" s="18">
        <v>27.105411866060241</v>
      </c>
      <c r="AL39" s="18">
        <v>14.982617317089996</v>
      </c>
      <c r="AM39" s="18">
        <v>13.392552991743534</v>
      </c>
      <c r="AN39" s="21">
        <v>240.9203881866284</v>
      </c>
      <c r="AO39" s="13"/>
      <c r="AP39" s="18">
        <v>62.094299803940579</v>
      </c>
      <c r="AQ39" s="18">
        <v>44.414213547353739</v>
      </c>
      <c r="AR39" s="21">
        <v>245.23975675406248</v>
      </c>
      <c r="AS39" s="21">
        <v>136.45144708990296</v>
      </c>
    </row>
    <row r="40" spans="1:45" x14ac:dyDescent="0.3">
      <c r="A40" s="14" t="s">
        <v>161</v>
      </c>
      <c r="B40" s="14" t="s">
        <v>162</v>
      </c>
      <c r="C40" s="14">
        <v>36.114995999999998</v>
      </c>
      <c r="D40" s="14">
        <v>-94.554445999999999</v>
      </c>
      <c r="E40" s="14" t="s">
        <v>163</v>
      </c>
      <c r="F40" s="14">
        <v>10</v>
      </c>
      <c r="G40" s="14" t="s">
        <v>76</v>
      </c>
      <c r="H40" s="14">
        <v>4</v>
      </c>
      <c r="I40" s="14">
        <v>279.7</v>
      </c>
      <c r="K40" s="18">
        <v>9.8360655737704921</v>
      </c>
      <c r="L40" s="18">
        <v>16.443422630947619</v>
      </c>
      <c r="M40" s="18">
        <v>73.72051179528188</v>
      </c>
      <c r="O40" s="18">
        <v>35.225535333917129</v>
      </c>
      <c r="P40" s="12">
        <v>2.1944843435794299</v>
      </c>
      <c r="Q40" s="12">
        <v>2.4790083966413432</v>
      </c>
      <c r="R40" s="12">
        <v>2.2983145693158349</v>
      </c>
      <c r="S40" s="12" t="s">
        <v>237</v>
      </c>
      <c r="T40" s="12">
        <v>5.6890518246958832</v>
      </c>
      <c r="U40" s="18">
        <v>7.8349801778991903</v>
      </c>
      <c r="V40" s="21">
        <v>168.62901616443824</v>
      </c>
      <c r="W40" s="12">
        <v>0.18578778282323777</v>
      </c>
      <c r="X40" s="21">
        <v>6347.0170600907322</v>
      </c>
      <c r="Y40" s="12">
        <v>4.140784433942728</v>
      </c>
      <c r="Z40" s="18">
        <v>94.393502874721534</v>
      </c>
      <c r="AA40" s="21">
        <v>2845.4529680398382</v>
      </c>
      <c r="AB40" s="12">
        <v>2.0351174253578659</v>
      </c>
      <c r="AC40" s="12">
        <v>8.3685655932144503</v>
      </c>
      <c r="AD40" s="18">
        <v>16.265466104701183</v>
      </c>
      <c r="AE40" s="12">
        <v>9.2320405535693908</v>
      </c>
      <c r="AF40" s="21">
        <v>11620.103444907503</v>
      </c>
      <c r="AG40" s="21">
        <v>838.12489152782894</v>
      </c>
      <c r="AH40" s="18">
        <v>11.99645888529221</v>
      </c>
      <c r="AI40" s="21">
        <v>578.94914042976427</v>
      </c>
      <c r="AJ40" s="21">
        <v>811.77438634176212</v>
      </c>
      <c r="AK40" s="18">
        <v>58.046725492773184</v>
      </c>
      <c r="AL40" s="18">
        <v>12.558042224169672</v>
      </c>
      <c r="AM40" s="18">
        <v>33.660915794739033</v>
      </c>
      <c r="AN40" s="21">
        <v>160.53709150137945</v>
      </c>
      <c r="AO40" s="13"/>
      <c r="AP40" s="18">
        <v>51.471331208205612</v>
      </c>
      <c r="AQ40" s="18">
        <v>45.878761869114733</v>
      </c>
      <c r="AR40" s="21">
        <v>205.01048008783303</v>
      </c>
      <c r="AS40" s="21">
        <v>113.19631461215137</v>
      </c>
    </row>
    <row r="41" spans="1:45" x14ac:dyDescent="0.3">
      <c r="A41" s="14" t="s">
        <v>164</v>
      </c>
      <c r="B41" s="14" t="s">
        <v>165</v>
      </c>
      <c r="C41" s="14">
        <v>36.114927000000002</v>
      </c>
      <c r="D41" s="14">
        <v>-94.556083000000001</v>
      </c>
      <c r="E41" s="14" t="s">
        <v>166</v>
      </c>
      <c r="F41" s="14">
        <v>10</v>
      </c>
      <c r="G41" s="14" t="s">
        <v>76</v>
      </c>
      <c r="H41" s="14">
        <v>4</v>
      </c>
      <c r="I41" s="14">
        <v>278.7</v>
      </c>
      <c r="K41" s="18">
        <v>4.9105414955114766</v>
      </c>
      <c r="L41" s="18">
        <v>20.176544766708702</v>
      </c>
      <c r="M41" s="18">
        <v>74.912913737779817</v>
      </c>
      <c r="O41" s="18">
        <v>34.911930148602153</v>
      </c>
      <c r="P41" s="12">
        <v>2.5653706230104585</v>
      </c>
      <c r="Q41" s="12">
        <v>2.8584754797441363</v>
      </c>
      <c r="R41" s="12">
        <v>1.6989240147906326</v>
      </c>
      <c r="S41" s="12" t="s">
        <v>237</v>
      </c>
      <c r="T41" s="12">
        <v>6.5791227836288497</v>
      </c>
      <c r="U41" s="18">
        <v>13.39991345737776</v>
      </c>
      <c r="V41" s="21">
        <v>172.1556886227545</v>
      </c>
      <c r="W41" s="12">
        <v>0.18901964202270841</v>
      </c>
      <c r="X41" s="21">
        <v>7432.2372200235995</v>
      </c>
      <c r="Y41" s="12">
        <v>5.2427057559654626</v>
      </c>
      <c r="Z41" s="21">
        <v>120.05176802358847</v>
      </c>
      <c r="AA41" s="21">
        <v>2988.4739041670191</v>
      </c>
      <c r="AB41" s="12">
        <v>2.4836878875598001</v>
      </c>
      <c r="AC41" s="12">
        <v>9.7796087162045815</v>
      </c>
      <c r="AD41" s="18">
        <v>18.087734043397905</v>
      </c>
      <c r="AE41" s="18">
        <v>10.645948742141993</v>
      </c>
      <c r="AF41" s="21">
        <v>14175.870251333485</v>
      </c>
      <c r="AG41" s="21">
        <v>888.21948885749998</v>
      </c>
      <c r="AH41" s="18">
        <v>14.289108143867345</v>
      </c>
      <c r="AI41" s="21">
        <v>652.49645158993042</v>
      </c>
      <c r="AJ41" s="21">
        <v>999.52092499364903</v>
      </c>
      <c r="AK41" s="18">
        <v>62.414134752805374</v>
      </c>
      <c r="AL41" s="18">
        <v>14.379841887555184</v>
      </c>
      <c r="AM41" s="18">
        <v>40.527666921953369</v>
      </c>
      <c r="AN41" s="21">
        <v>145.92488984830734</v>
      </c>
      <c r="AO41" s="13"/>
      <c r="AP41" s="18">
        <v>53.635618079025846</v>
      </c>
      <c r="AQ41" s="18">
        <v>55.682791427987553</v>
      </c>
      <c r="AR41" s="21">
        <v>214.43660476857735</v>
      </c>
      <c r="AS41" s="21">
        <v>118.62083428927828</v>
      </c>
    </row>
    <row r="42" spans="1:45" x14ac:dyDescent="0.3">
      <c r="A42" s="14" t="s">
        <v>167</v>
      </c>
      <c r="B42" s="14" t="s">
        <v>168</v>
      </c>
      <c r="C42" s="14">
        <v>36.115569999999998</v>
      </c>
      <c r="D42" s="14">
        <v>-94.557288999999997</v>
      </c>
      <c r="E42" s="14" t="s">
        <v>169</v>
      </c>
      <c r="F42" s="14">
        <v>10</v>
      </c>
      <c r="G42" s="14" t="s">
        <v>76</v>
      </c>
      <c r="H42" s="14">
        <v>4</v>
      </c>
      <c r="I42" s="14">
        <v>278.60000000000002</v>
      </c>
      <c r="K42" s="18">
        <v>12.360252326525526</v>
      </c>
      <c r="L42" s="18">
        <v>14.8397976391231</v>
      </c>
      <c r="M42" s="18">
        <v>72.799950034351383</v>
      </c>
      <c r="O42" s="18">
        <v>39.279500922590294</v>
      </c>
      <c r="P42" s="12">
        <v>3.6264473128970529</v>
      </c>
      <c r="Q42" s="12">
        <v>2.7986006996501751</v>
      </c>
      <c r="R42" s="12">
        <v>3.0974188176519561</v>
      </c>
      <c r="S42" s="12" t="s">
        <v>237</v>
      </c>
      <c r="T42" s="12">
        <v>10.138310281619731</v>
      </c>
      <c r="U42" s="18">
        <v>16.267532208129435</v>
      </c>
      <c r="V42" s="21">
        <v>236.10280932456666</v>
      </c>
      <c r="W42" s="12">
        <v>0.21001318053740264</v>
      </c>
      <c r="X42" s="21">
        <v>8100.6426598429289</v>
      </c>
      <c r="Y42" s="12">
        <v>6.2007903994268707</v>
      </c>
      <c r="Z42" s="21">
        <v>124.66205671661652</v>
      </c>
      <c r="AA42" s="21">
        <v>4535.3016132175217</v>
      </c>
      <c r="AB42" s="12">
        <v>2.7269304028421391</v>
      </c>
      <c r="AC42" s="12">
        <v>9.9202059306625898</v>
      </c>
      <c r="AD42" s="18">
        <v>19.003059925962315</v>
      </c>
      <c r="AE42" s="12" t="s">
        <v>237</v>
      </c>
      <c r="AF42" s="21">
        <v>14491.244797248777</v>
      </c>
      <c r="AG42" s="21">
        <v>1000.4187699062576</v>
      </c>
      <c r="AH42" s="18">
        <v>16.404470911226369</v>
      </c>
      <c r="AI42" s="21">
        <v>730.82642260529667</v>
      </c>
      <c r="AJ42" s="21">
        <v>1164.3767233192284</v>
      </c>
      <c r="AK42" s="18">
        <v>70.064783105019202</v>
      </c>
      <c r="AL42" s="18">
        <v>15.631829827273947</v>
      </c>
      <c r="AM42" s="18">
        <v>41.339106809712668</v>
      </c>
      <c r="AN42" s="21">
        <v>237.47694121446978</v>
      </c>
      <c r="AO42" s="13"/>
      <c r="AP42" s="18">
        <v>64.921836874225164</v>
      </c>
      <c r="AQ42" s="18">
        <v>65.688320164303818</v>
      </c>
      <c r="AR42" s="21">
        <v>168.12923813322712</v>
      </c>
      <c r="AS42" s="21">
        <v>92.21259005772626</v>
      </c>
    </row>
    <row r="43" spans="1:45" x14ac:dyDescent="0.3">
      <c r="A43" s="14" t="s">
        <v>170</v>
      </c>
      <c r="B43" s="14" t="s">
        <v>171</v>
      </c>
      <c r="C43" s="14">
        <v>36.114922</v>
      </c>
      <c r="D43" s="14">
        <v>-94.558491000000004</v>
      </c>
      <c r="E43" s="14" t="s">
        <v>172</v>
      </c>
      <c r="F43" s="14">
        <v>10</v>
      </c>
      <c r="G43" s="14" t="s">
        <v>76</v>
      </c>
      <c r="H43" s="14">
        <v>4</v>
      </c>
      <c r="I43" s="14">
        <v>279.3</v>
      </c>
      <c r="K43" s="18">
        <v>14.826403814817409</v>
      </c>
      <c r="L43" s="18">
        <v>13.595785306554967</v>
      </c>
      <c r="M43" s="18">
        <v>71.577810878627616</v>
      </c>
      <c r="O43" s="18">
        <v>38.081643566235144</v>
      </c>
      <c r="P43" s="12">
        <v>2.7877567339444265</v>
      </c>
      <c r="Q43" s="12">
        <v>3.5591695271103405</v>
      </c>
      <c r="R43" s="12">
        <v>3.6178293024185488</v>
      </c>
      <c r="S43" s="12" t="s">
        <v>237</v>
      </c>
      <c r="T43" s="12">
        <v>9.7973873633697668</v>
      </c>
      <c r="U43" s="18">
        <v>16.062734388009993</v>
      </c>
      <c r="V43" s="21">
        <v>250.44919145538034</v>
      </c>
      <c r="W43" s="12">
        <v>0.17669943971076735</v>
      </c>
      <c r="X43" s="21">
        <v>5971.5607855498001</v>
      </c>
      <c r="Y43" s="12">
        <v>4.6916599715184555</v>
      </c>
      <c r="Z43" s="21">
        <v>103.61811876827721</v>
      </c>
      <c r="AA43" s="21">
        <v>2723.6941156729154</v>
      </c>
      <c r="AB43" s="12">
        <v>2.4030479695780844</v>
      </c>
      <c r="AC43" s="12">
        <v>9.0499956658182388</v>
      </c>
      <c r="AD43" s="18">
        <v>16.064619899731163</v>
      </c>
      <c r="AE43" s="18">
        <v>10.63288341705473</v>
      </c>
      <c r="AF43" s="21">
        <v>13358.155561975629</v>
      </c>
      <c r="AG43" s="21">
        <v>761.91742846234399</v>
      </c>
      <c r="AH43" s="18">
        <v>10.52821637348365</v>
      </c>
      <c r="AI43" s="21">
        <v>569.25667552555637</v>
      </c>
      <c r="AJ43" s="21">
        <v>786.65467658275475</v>
      </c>
      <c r="AK43" s="18">
        <v>59.058835575941217</v>
      </c>
      <c r="AL43" s="18">
        <v>13.295076251433418</v>
      </c>
      <c r="AM43" s="18">
        <v>39.463018003156606</v>
      </c>
      <c r="AN43" s="21">
        <v>139.26406388091391</v>
      </c>
      <c r="AO43" s="13"/>
      <c r="AP43" s="18">
        <v>58.244042898295575</v>
      </c>
      <c r="AQ43" s="18">
        <v>55.476538915462285</v>
      </c>
      <c r="AR43" s="21">
        <v>196.99233144109152</v>
      </c>
      <c r="AS43" s="21">
        <v>108.61664696318695</v>
      </c>
    </row>
    <row r="44" spans="1:45" x14ac:dyDescent="0.3">
      <c r="A44" s="14" t="s">
        <v>173</v>
      </c>
      <c r="B44" s="14" t="s">
        <v>174</v>
      </c>
      <c r="C44" s="14">
        <v>36.113821000000002</v>
      </c>
      <c r="D44" s="14">
        <v>-94.556967999999998</v>
      </c>
      <c r="E44" s="14" t="s">
        <v>175</v>
      </c>
      <c r="F44" s="14">
        <v>10</v>
      </c>
      <c r="G44" s="14" t="s">
        <v>76</v>
      </c>
      <c r="H44" s="14">
        <v>4</v>
      </c>
      <c r="I44" s="14">
        <v>279.8</v>
      </c>
      <c r="K44" s="18">
        <v>11.0802327208749</v>
      </c>
      <c r="L44" s="18">
        <v>13.595377571625647</v>
      </c>
      <c r="M44" s="18">
        <v>75.324389707499449</v>
      </c>
      <c r="O44" s="18">
        <v>34.938574429989337</v>
      </c>
      <c r="P44" s="12">
        <v>2.2398759930246075</v>
      </c>
      <c r="Q44" s="12">
        <v>1.9995334421968207</v>
      </c>
      <c r="R44" s="12">
        <v>1.6885928393005827</v>
      </c>
      <c r="S44" s="12">
        <v>30.087964814074372</v>
      </c>
      <c r="T44" s="12">
        <v>6.0689885019163468</v>
      </c>
      <c r="U44" s="18">
        <v>9.4322401278550974</v>
      </c>
      <c r="V44" s="21">
        <v>169.37062937062939</v>
      </c>
      <c r="W44" s="12">
        <v>0.20895330899504891</v>
      </c>
      <c r="X44" s="21">
        <v>6470.2072303823525</v>
      </c>
      <c r="Y44" s="12">
        <v>4.4840740457350776</v>
      </c>
      <c r="Z44" s="21">
        <v>115.94350037278336</v>
      </c>
      <c r="AA44" s="21">
        <v>3133.7559298870219</v>
      </c>
      <c r="AB44" s="12">
        <v>2.4429413651130338</v>
      </c>
      <c r="AC44" s="12">
        <v>9.6737919446529244</v>
      </c>
      <c r="AD44" s="18">
        <v>16.590572907713526</v>
      </c>
      <c r="AE44" s="18">
        <v>10.739453820527673</v>
      </c>
      <c r="AF44" s="21">
        <v>12928.325335253456</v>
      </c>
      <c r="AG44" s="21">
        <v>798.77245866753253</v>
      </c>
      <c r="AH44" s="18">
        <v>11.790083851214513</v>
      </c>
      <c r="AI44" s="21">
        <v>618.42503626693838</v>
      </c>
      <c r="AJ44" s="21">
        <v>934.38336932408401</v>
      </c>
      <c r="AK44" s="18">
        <v>57.285615749303851</v>
      </c>
      <c r="AL44" s="18">
        <v>13.91053350218978</v>
      </c>
      <c r="AM44" s="18">
        <v>40.250803842313616</v>
      </c>
      <c r="AN44" s="21">
        <v>184.27869503234274</v>
      </c>
      <c r="AO44" s="13"/>
      <c r="AP44" s="18">
        <v>57.859384478391291</v>
      </c>
      <c r="AQ44" s="18">
        <v>54.258031554329172</v>
      </c>
      <c r="AR44" s="21">
        <v>138.55111465497191</v>
      </c>
      <c r="AS44" s="21">
        <v>75.673537615829574</v>
      </c>
    </row>
    <row r="45" spans="1:45" x14ac:dyDescent="0.3">
      <c r="A45" s="14" t="s">
        <v>176</v>
      </c>
      <c r="B45" s="14" t="s">
        <v>177</v>
      </c>
      <c r="C45" s="14">
        <v>36.112538000000001</v>
      </c>
      <c r="D45" s="14">
        <v>-94.557922000000005</v>
      </c>
      <c r="E45" s="14" t="s">
        <v>178</v>
      </c>
      <c r="F45" s="14">
        <v>10</v>
      </c>
      <c r="G45" s="14" t="s">
        <v>76</v>
      </c>
      <c r="H45" s="14">
        <v>4</v>
      </c>
      <c r="I45" s="14">
        <v>280.7</v>
      </c>
      <c r="K45" s="18">
        <v>12.391988412167231</v>
      </c>
      <c r="L45" s="18">
        <v>13.585734978272813</v>
      </c>
      <c r="M45" s="18">
        <v>74.022276609559952</v>
      </c>
      <c r="O45" s="18">
        <v>39.080891184242141</v>
      </c>
      <c r="P45" s="12">
        <v>2.7993877597992931</v>
      </c>
      <c r="Q45" s="12">
        <v>2.2286628023186088</v>
      </c>
      <c r="R45" s="12">
        <v>1.3989740856705082</v>
      </c>
      <c r="S45" s="12" t="s">
        <v>237</v>
      </c>
      <c r="T45" s="12">
        <v>3.6697553496433568</v>
      </c>
      <c r="U45" s="18">
        <v>0.68468506298740239</v>
      </c>
      <c r="V45" s="21">
        <v>143.56929212362911</v>
      </c>
      <c r="W45" s="12">
        <v>0.22047333543165584</v>
      </c>
      <c r="X45" s="21">
        <v>5924.6470184531372</v>
      </c>
      <c r="Y45" s="12">
        <v>4.8035427769518781</v>
      </c>
      <c r="Z45" s="21">
        <v>116.18998160622459</v>
      </c>
      <c r="AA45" s="21">
        <v>2662.2609012053113</v>
      </c>
      <c r="AB45" s="12">
        <v>2.5297313364250136</v>
      </c>
      <c r="AC45" s="12">
        <v>9.7542101331893853</v>
      </c>
      <c r="AD45" s="18">
        <v>16.599773739906805</v>
      </c>
      <c r="AE45" s="18">
        <v>11.024947972563508</v>
      </c>
      <c r="AF45" s="21">
        <v>13697.451546870307</v>
      </c>
      <c r="AG45" s="21">
        <v>670.6199363156959</v>
      </c>
      <c r="AH45" s="12">
        <v>9.1929373368871001</v>
      </c>
      <c r="AI45" s="21">
        <v>565.61286462446083</v>
      </c>
      <c r="AJ45" s="21">
        <v>1191.2303831202905</v>
      </c>
      <c r="AK45" s="18">
        <v>56.220273468078666</v>
      </c>
      <c r="AL45" s="18">
        <v>12.747415924388642</v>
      </c>
      <c r="AM45" s="18">
        <v>44.979549897012795</v>
      </c>
      <c r="AN45" s="21">
        <v>136.09237117417373</v>
      </c>
      <c r="AO45" s="13"/>
      <c r="AP45" s="18">
        <v>52.74693760935584</v>
      </c>
      <c r="AQ45" s="18">
        <v>54.363599713523456</v>
      </c>
      <c r="AR45" s="21">
        <v>190.67543335325749</v>
      </c>
      <c r="AS45" s="21">
        <v>105.01038493314823</v>
      </c>
    </row>
    <row r="46" spans="1:45" x14ac:dyDescent="0.3">
      <c r="A46" s="14" t="s">
        <v>179</v>
      </c>
      <c r="B46" s="14" t="s">
        <v>180</v>
      </c>
      <c r="C46" s="14">
        <v>36.112955999999997</v>
      </c>
      <c r="D46" s="14">
        <v>-94.559434999999993</v>
      </c>
      <c r="E46" s="14" t="s">
        <v>181</v>
      </c>
      <c r="F46" s="14">
        <v>10</v>
      </c>
      <c r="G46" s="14" t="s">
        <v>76</v>
      </c>
      <c r="H46" s="14">
        <v>4</v>
      </c>
      <c r="I46" s="14">
        <v>280.60000000000002</v>
      </c>
      <c r="K46" s="18">
        <v>42.514084049407892</v>
      </c>
      <c r="L46" s="18">
        <v>6.2484691250643598</v>
      </c>
      <c r="M46" s="18">
        <v>51.237446825527748</v>
      </c>
      <c r="O46" s="18">
        <v>37.985356491568375</v>
      </c>
      <c r="P46" s="12">
        <v>5.4474930901200986</v>
      </c>
      <c r="Q46" s="12">
        <v>3.3877415056628917</v>
      </c>
      <c r="R46" s="12">
        <v>2.5868096014914941</v>
      </c>
      <c r="S46" s="12">
        <v>34.799999999999997</v>
      </c>
      <c r="T46" s="12">
        <v>6.8988501916347271</v>
      </c>
      <c r="U46" s="18">
        <v>4.5088467240833596</v>
      </c>
      <c r="V46" s="21">
        <v>178.4716679968077</v>
      </c>
      <c r="W46" s="12">
        <v>0.17642363377903617</v>
      </c>
      <c r="X46" s="21">
        <v>6751.4436535022614</v>
      </c>
      <c r="Y46" s="12">
        <v>4.283059597249979</v>
      </c>
      <c r="Z46" s="21">
        <v>100.47288084567231</v>
      </c>
      <c r="AA46" s="21">
        <v>2842.140390891585</v>
      </c>
      <c r="AB46" s="12">
        <v>2.1084300856045202</v>
      </c>
      <c r="AC46" s="12">
        <v>7.823322693481785</v>
      </c>
      <c r="AD46" s="18">
        <v>17.07285360975731</v>
      </c>
      <c r="AE46" s="18">
        <v>10.952868108868095</v>
      </c>
      <c r="AF46" s="21">
        <v>11324.892273472342</v>
      </c>
      <c r="AG46" s="21">
        <v>859.57708444918251</v>
      </c>
      <c r="AH46" s="18">
        <v>12.902073431184608</v>
      </c>
      <c r="AI46" s="21">
        <v>635.87685613228257</v>
      </c>
      <c r="AJ46" s="21">
        <v>769.19491942359355</v>
      </c>
      <c r="AK46" s="18">
        <v>60.240720514276127</v>
      </c>
      <c r="AL46" s="18">
        <v>12.523806449378791</v>
      </c>
      <c r="AM46" s="18">
        <v>34.905486253030219</v>
      </c>
      <c r="AN46" s="21">
        <v>175.19267059546448</v>
      </c>
      <c r="AO46" s="13"/>
      <c r="AP46" s="18">
        <v>48.81634374836154</v>
      </c>
      <c r="AQ46" s="18">
        <v>52.139728006011524</v>
      </c>
      <c r="AR46" s="21">
        <v>166.53354632587863</v>
      </c>
      <c r="AS46" s="21">
        <v>91.308028873884439</v>
      </c>
    </row>
    <row r="47" spans="1:45" x14ac:dyDescent="0.3">
      <c r="A47" s="14" t="s">
        <v>182</v>
      </c>
      <c r="B47" s="14" t="s">
        <v>183</v>
      </c>
      <c r="C47" s="14">
        <v>36.110419999999998</v>
      </c>
      <c r="D47" s="14">
        <v>-94.5565</v>
      </c>
      <c r="E47" s="14" t="s">
        <v>184</v>
      </c>
      <c r="F47" s="14">
        <v>10</v>
      </c>
      <c r="G47" s="14" t="s">
        <v>76</v>
      </c>
      <c r="H47" s="14">
        <v>4</v>
      </c>
      <c r="I47" s="14">
        <v>279.10000000000002</v>
      </c>
      <c r="K47" s="18">
        <v>12.393957480602065</v>
      </c>
      <c r="L47" s="18">
        <v>14.834090438005237</v>
      </c>
      <c r="M47" s="18">
        <v>72.771952081392698</v>
      </c>
      <c r="O47" s="18">
        <v>30.472326156134493</v>
      </c>
      <c r="P47" s="12">
        <v>1.3074607525179094</v>
      </c>
      <c r="Q47" s="12">
        <v>1.8487059058658935</v>
      </c>
      <c r="R47" s="12">
        <v>1.7487758569001695</v>
      </c>
      <c r="S47" s="12" t="s">
        <v>237</v>
      </c>
      <c r="T47" s="12" t="s">
        <v>237</v>
      </c>
      <c r="U47" s="18">
        <v>4.7637674015852927</v>
      </c>
      <c r="V47" s="21">
        <v>114.04034351907328</v>
      </c>
      <c r="W47" s="12"/>
      <c r="X47" s="21">
        <v>3619.814888048154</v>
      </c>
      <c r="Y47" s="12"/>
      <c r="Z47" s="18">
        <v>75.466238104026104</v>
      </c>
      <c r="AA47" s="21">
        <v>3071.1399724032422</v>
      </c>
      <c r="AB47" s="12">
        <v>0.8572906710963305</v>
      </c>
      <c r="AC47" s="12">
        <v>6.1374369967292868</v>
      </c>
      <c r="AD47" s="18">
        <v>10.423668198629416</v>
      </c>
      <c r="AE47" s="12">
        <v>6.3678102607683895</v>
      </c>
      <c r="AF47" s="21">
        <v>9760.1176659790854</v>
      </c>
      <c r="AG47" s="21">
        <v>611.8109635136808</v>
      </c>
      <c r="AH47" s="12">
        <v>5.1335249618279359</v>
      </c>
      <c r="AI47" s="21">
        <v>367.82412799886407</v>
      </c>
      <c r="AJ47" s="21">
        <v>653.95571946436337</v>
      </c>
      <c r="AK47" s="18">
        <v>15.503209840147322</v>
      </c>
      <c r="AL47" s="12">
        <v>8.7877292242958145</v>
      </c>
      <c r="AM47" s="18">
        <v>23.324126677656082</v>
      </c>
      <c r="AN47" s="21">
        <v>193.90830870721163</v>
      </c>
      <c r="AO47" s="13"/>
      <c r="AP47" s="18">
        <v>30.979539096930388</v>
      </c>
      <c r="AQ47" s="18">
        <v>33.423228493680746</v>
      </c>
      <c r="AR47" s="21">
        <v>120.71029529130112</v>
      </c>
      <c r="AS47" s="21">
        <v>65.65572218444099</v>
      </c>
    </row>
    <row r="48" spans="1:45" x14ac:dyDescent="0.3">
      <c r="A48" s="14" t="s">
        <v>185</v>
      </c>
      <c r="B48" s="14" t="s">
        <v>186</v>
      </c>
      <c r="C48" s="14">
        <v>36.113047999999999</v>
      </c>
      <c r="D48" s="14">
        <v>-94.554764000000006</v>
      </c>
      <c r="E48" s="14" t="s">
        <v>187</v>
      </c>
      <c r="F48" s="14">
        <v>10</v>
      </c>
      <c r="G48" s="14" t="s">
        <v>76</v>
      </c>
      <c r="H48" s="14">
        <v>4</v>
      </c>
      <c r="I48" s="14">
        <v>279.10000000000002</v>
      </c>
      <c r="K48" s="18">
        <v>11.091564693505795</v>
      </c>
      <c r="L48" s="18">
        <v>13.593644970976065</v>
      </c>
      <c r="M48" s="18">
        <v>75.31479033551814</v>
      </c>
      <c r="O48" s="17"/>
      <c r="P48" s="11"/>
      <c r="Q48" s="12">
        <v>2.789349151864565</v>
      </c>
      <c r="R48" s="12">
        <v>3.0585726660891583</v>
      </c>
      <c r="S48" s="11"/>
      <c r="T48" s="11"/>
      <c r="U48" s="18">
        <v>7.7462969505082491</v>
      </c>
      <c r="V48" s="21">
        <v>193.65775827682492</v>
      </c>
      <c r="W48" s="12"/>
      <c r="X48" s="21">
        <v>4175.2194929826392</v>
      </c>
      <c r="Y48" s="12"/>
      <c r="Z48" s="18">
        <v>95.496575368617201</v>
      </c>
      <c r="AA48" s="21">
        <v>4016.629590487752</v>
      </c>
      <c r="AB48" s="12"/>
      <c r="AC48" s="12">
        <v>7.376367188478187</v>
      </c>
      <c r="AD48" s="18">
        <v>11.346094894334165</v>
      </c>
      <c r="AE48" s="12">
        <v>8.1988655522897744</v>
      </c>
      <c r="AF48" s="21">
        <v>11884.835749424963</v>
      </c>
      <c r="AG48" s="21">
        <v>690.66400550871901</v>
      </c>
      <c r="AH48" s="12">
        <v>5.8787827079751747</v>
      </c>
      <c r="AI48" s="21">
        <v>447.51569345329847</v>
      </c>
      <c r="AJ48" s="21">
        <v>813.78200601640378</v>
      </c>
      <c r="AK48" s="18">
        <v>20.575296798492328</v>
      </c>
      <c r="AL48" s="18">
        <v>10.172551749843036</v>
      </c>
      <c r="AM48" s="18">
        <v>28.327941494634583</v>
      </c>
      <c r="AN48" s="21">
        <v>807.39030671366959</v>
      </c>
      <c r="AO48" s="13"/>
      <c r="AP48" s="18">
        <v>34.077240472031249</v>
      </c>
      <c r="AQ48" s="18">
        <v>41.262812830152704</v>
      </c>
      <c r="AR48" s="21">
        <v>150.97353969046435</v>
      </c>
      <c r="AS48" s="21">
        <v>82.548028877261203</v>
      </c>
    </row>
    <row r="49" spans="1:45" x14ac:dyDescent="0.3">
      <c r="A49" s="14" t="s">
        <v>188</v>
      </c>
      <c r="B49" s="14" t="s">
        <v>189</v>
      </c>
      <c r="C49" s="14">
        <v>36.111913000000001</v>
      </c>
      <c r="D49" s="14">
        <v>-94.555339000000004</v>
      </c>
      <c r="E49" s="14" t="s">
        <v>190</v>
      </c>
      <c r="F49" s="14">
        <v>10</v>
      </c>
      <c r="G49" s="14" t="s">
        <v>76</v>
      </c>
      <c r="H49" s="14">
        <v>4</v>
      </c>
      <c r="I49" s="14">
        <v>279.39999999999998</v>
      </c>
      <c r="K49" s="18">
        <v>22.503099876004967</v>
      </c>
      <c r="L49" s="18">
        <v>7.4997000119995185</v>
      </c>
      <c r="M49" s="18">
        <v>69.997200111995511</v>
      </c>
      <c r="O49" s="17"/>
      <c r="P49" s="11"/>
      <c r="Q49" s="12">
        <v>2.518572808741713</v>
      </c>
      <c r="R49" s="12">
        <v>2.4097590240975899</v>
      </c>
      <c r="S49" s="11"/>
      <c r="T49" s="11"/>
      <c r="U49" s="18">
        <v>4.4019685117997538</v>
      </c>
      <c r="V49" s="21">
        <v>175.47885075818039</v>
      </c>
      <c r="W49" s="12"/>
      <c r="X49" s="21">
        <v>3679.6505995507887</v>
      </c>
      <c r="Y49" s="12"/>
      <c r="Z49" s="18">
        <v>86.75196394803929</v>
      </c>
      <c r="AA49" s="21">
        <v>3128.2331544452159</v>
      </c>
      <c r="AB49" s="12">
        <v>1.003265672694607</v>
      </c>
      <c r="AC49" s="12">
        <v>6.8471100161988288</v>
      </c>
      <c r="AD49" s="18">
        <v>10.365222368449855</v>
      </c>
      <c r="AE49" s="12">
        <v>7.4492030697719906</v>
      </c>
      <c r="AF49" s="21">
        <v>10928.334184740257</v>
      </c>
      <c r="AG49" s="21">
        <v>598.55132972861429</v>
      </c>
      <c r="AH49" s="12">
        <v>4.9642048804778005</v>
      </c>
      <c r="AI49" s="21">
        <v>391.63001223462487</v>
      </c>
      <c r="AJ49" s="21">
        <v>761.55527155020832</v>
      </c>
      <c r="AK49" s="18">
        <v>27.788944434134773</v>
      </c>
      <c r="AL49" s="12">
        <v>9.0403058006906374</v>
      </c>
      <c r="AM49" s="18">
        <v>26.047708252195662</v>
      </c>
      <c r="AN49" s="21">
        <v>250.12443059460327</v>
      </c>
      <c r="AO49" s="13"/>
      <c r="AP49" s="18">
        <v>31.815149370625676</v>
      </c>
      <c r="AQ49" s="18">
        <v>37.244233349441309</v>
      </c>
      <c r="AR49" s="21">
        <v>161.02287483767859</v>
      </c>
      <c r="AS49" s="21">
        <v>88.198573352560601</v>
      </c>
    </row>
    <row r="50" spans="1:45" x14ac:dyDescent="0.3">
      <c r="A50" s="14" t="s">
        <v>191</v>
      </c>
      <c r="B50" s="14" t="s">
        <v>192</v>
      </c>
      <c r="C50" s="14">
        <v>36.110770000000002</v>
      </c>
      <c r="D50" s="14">
        <v>-94.556259999999995</v>
      </c>
      <c r="E50" s="14" t="s">
        <v>193</v>
      </c>
      <c r="F50" s="14">
        <v>10</v>
      </c>
      <c r="G50" s="14" t="s">
        <v>76</v>
      </c>
      <c r="H50" s="14">
        <v>4</v>
      </c>
      <c r="I50" s="14">
        <v>279.60000000000002</v>
      </c>
      <c r="K50" s="18">
        <v>22.401847575057747</v>
      </c>
      <c r="L50" s="18">
        <v>11.085450346420322</v>
      </c>
      <c r="M50" s="18">
        <v>66.512702078521926</v>
      </c>
      <c r="O50" s="17"/>
      <c r="P50" s="11"/>
      <c r="Q50" s="12">
        <v>2.8287741978475989</v>
      </c>
      <c r="R50" s="12">
        <v>3.0281830901459124</v>
      </c>
      <c r="S50" s="11"/>
      <c r="T50" s="11"/>
      <c r="U50" s="18">
        <v>9.3383140000000004</v>
      </c>
      <c r="V50" s="21">
        <v>187.20095693779902</v>
      </c>
      <c r="W50" s="12"/>
      <c r="X50" s="21">
        <v>3578.416337704482</v>
      </c>
      <c r="Y50" s="12"/>
      <c r="Z50" s="18">
        <v>81.845561784802911</v>
      </c>
      <c r="AA50" s="21">
        <v>3099.9181675807695</v>
      </c>
      <c r="AB50" s="12">
        <v>0.98039413121935692</v>
      </c>
      <c r="AC50" s="12">
        <v>6.8743243665444398</v>
      </c>
      <c r="AD50" s="18">
        <v>10.866850466707479</v>
      </c>
      <c r="AE50" s="12">
        <v>7.2615444623822114</v>
      </c>
      <c r="AF50" s="21">
        <v>10482.01018421001</v>
      </c>
      <c r="AG50" s="21">
        <v>722.09764293662386</v>
      </c>
      <c r="AH50" s="12">
        <v>4.9004137688648131</v>
      </c>
      <c r="AI50" s="21">
        <v>396.94619278836734</v>
      </c>
      <c r="AJ50" s="21">
        <v>725.56282909007166</v>
      </c>
      <c r="AK50" s="18">
        <v>17.458043769494601</v>
      </c>
      <c r="AL50" s="12">
        <v>9.2109896892736973</v>
      </c>
      <c r="AM50" s="18">
        <v>24.077261042457238</v>
      </c>
      <c r="AN50" s="21">
        <v>238.59425594157335</v>
      </c>
      <c r="AO50" s="13"/>
      <c r="AP50" s="18">
        <v>29.07420181970436</v>
      </c>
      <c r="AQ50" s="18">
        <v>38.410854549844416</v>
      </c>
      <c r="AR50" s="21">
        <v>110.54574478699004</v>
      </c>
      <c r="AS50" s="21">
        <v>60.022618918305177</v>
      </c>
    </row>
    <row r="51" spans="1:45" x14ac:dyDescent="0.3">
      <c r="A51" s="14" t="s">
        <v>233</v>
      </c>
      <c r="B51" s="14" t="s">
        <v>194</v>
      </c>
      <c r="C51" s="14">
        <v>36.115519999999997</v>
      </c>
      <c r="D51" s="14">
        <v>-94.559600000000003</v>
      </c>
      <c r="E51" s="14" t="s">
        <v>195</v>
      </c>
      <c r="F51" s="14">
        <v>10</v>
      </c>
      <c r="G51" s="14" t="s">
        <v>76</v>
      </c>
      <c r="H51" s="14">
        <v>4</v>
      </c>
      <c r="I51" s="14">
        <v>279.60000000000002</v>
      </c>
      <c r="K51" s="18">
        <v>12.377642243355734</v>
      </c>
      <c r="L51" s="18">
        <v>11.090157590470785</v>
      </c>
      <c r="M51" s="18">
        <v>76.532200166173482</v>
      </c>
      <c r="O51" s="16">
        <v>33.848375695971669</v>
      </c>
      <c r="P51" s="15">
        <v>2.3746950906910671</v>
      </c>
      <c r="R51" s="15">
        <v>4.3045283543440425</v>
      </c>
      <c r="AR51" s="21">
        <v>153.11483493502166</v>
      </c>
      <c r="AS51" s="21">
        <v>83.792753394171385</v>
      </c>
    </row>
    <row r="52" spans="1:45" x14ac:dyDescent="0.3">
      <c r="A52" s="14" t="s">
        <v>234</v>
      </c>
      <c r="B52" s="14" t="s">
        <v>196</v>
      </c>
      <c r="C52" s="14">
        <v>36.114629999999998</v>
      </c>
      <c r="D52" s="14">
        <v>-94.560479999999998</v>
      </c>
      <c r="E52" s="14" t="s">
        <v>197</v>
      </c>
      <c r="F52" s="14">
        <v>10</v>
      </c>
      <c r="G52" s="14" t="s">
        <v>76</v>
      </c>
      <c r="H52" s="14">
        <v>4</v>
      </c>
      <c r="I52" s="14">
        <v>279.5</v>
      </c>
      <c r="K52" s="18">
        <v>17.367051322275099</v>
      </c>
      <c r="L52" s="18">
        <v>10.466605995603544</v>
      </c>
      <c r="M52" s="18">
        <v>72.166342682121353</v>
      </c>
      <c r="O52" s="16">
        <v>64.843712356410833</v>
      </c>
      <c r="P52" s="15">
        <v>2.3611586145588097</v>
      </c>
      <c r="R52" s="15">
        <v>3.6027687243584845</v>
      </c>
      <c r="AR52" s="21">
        <v>148.92918580416972</v>
      </c>
      <c r="AS52" s="21">
        <v>81.41033060563035</v>
      </c>
    </row>
    <row r="53" spans="1:45" x14ac:dyDescent="0.3">
      <c r="A53" s="14" t="s">
        <v>235</v>
      </c>
      <c r="B53" s="14" t="s">
        <v>198</v>
      </c>
      <c r="C53" s="14">
        <v>36.114159999999998</v>
      </c>
      <c r="D53" s="14">
        <v>-94.561660000000003</v>
      </c>
      <c r="E53" s="14" t="s">
        <v>199</v>
      </c>
      <c r="F53" s="14">
        <v>10</v>
      </c>
      <c r="G53" s="14" t="s">
        <v>76</v>
      </c>
      <c r="H53" s="14">
        <v>3</v>
      </c>
      <c r="I53" s="14">
        <v>279.5</v>
      </c>
      <c r="K53" s="18">
        <v>11.099746106679188</v>
      </c>
      <c r="L53" s="18">
        <v>11.718415677419641</v>
      </c>
      <c r="M53" s="18">
        <v>77.181838215901166</v>
      </c>
      <c r="O53" s="16">
        <v>34.342581336450422</v>
      </c>
      <c r="P53" s="15">
        <v>2.2351261458315901</v>
      </c>
      <c r="R53" s="15">
        <v>3.1778236169156902</v>
      </c>
      <c r="AR53" s="21">
        <v>182.18728226587069</v>
      </c>
      <c r="AS53" s="21">
        <v>100.17734483232317</v>
      </c>
    </row>
    <row r="54" spans="1:45" x14ac:dyDescent="0.3">
      <c r="A54" s="14" t="s">
        <v>236</v>
      </c>
      <c r="B54" s="14" t="s">
        <v>200</v>
      </c>
      <c r="C54" s="14">
        <v>36.11233</v>
      </c>
      <c r="D54" s="14">
        <v>-94.562200000000004</v>
      </c>
      <c r="E54" s="14" t="s">
        <v>201</v>
      </c>
      <c r="F54" s="14">
        <v>10</v>
      </c>
      <c r="G54" s="14" t="s">
        <v>76</v>
      </c>
      <c r="H54" s="14">
        <v>2</v>
      </c>
      <c r="I54" s="14">
        <v>279.7</v>
      </c>
      <c r="K54" s="18">
        <v>17.350435063791785</v>
      </c>
      <c r="L54" s="18">
        <v>18.588699324061011</v>
      </c>
      <c r="M54" s="18">
        <v>64.060865612147211</v>
      </c>
      <c r="N54" s="15"/>
      <c r="O54" s="16">
        <v>34.571252548439752</v>
      </c>
      <c r="P54" s="15">
        <v>2.1669238568952016</v>
      </c>
      <c r="R54" s="15">
        <v>3.223286105224882</v>
      </c>
      <c r="AR54" s="21">
        <v>347.89102633752248</v>
      </c>
      <c r="AS54" s="21">
        <v>197.69047390791798</v>
      </c>
    </row>
    <row r="55" spans="1:45" x14ac:dyDescent="0.3">
      <c r="N55" s="1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B528-35F3-4DC8-BCE6-AEBD7B8AE67E}">
  <dimension ref="A1:AS32"/>
  <sheetViews>
    <sheetView workbookViewId="0">
      <selection activeCell="A2" sqref="A2:XFD5"/>
    </sheetView>
  </sheetViews>
  <sheetFormatPr defaultColWidth="12.09765625" defaultRowHeight="13.8" x14ac:dyDescent="0.25"/>
  <cols>
    <col min="1" max="16384" width="12.09765625" style="2"/>
  </cols>
  <sheetData>
    <row r="1" spans="1: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5" x14ac:dyDescent="0.25">
      <c r="A2" s="2" t="s">
        <v>233</v>
      </c>
      <c r="B2" s="2" t="s">
        <v>194</v>
      </c>
      <c r="C2" s="2">
        <v>36.115519999999997</v>
      </c>
      <c r="D2" s="2">
        <v>-94.559600000000003</v>
      </c>
      <c r="E2" s="2" t="s">
        <v>195</v>
      </c>
      <c r="F2" s="2">
        <v>5</v>
      </c>
      <c r="G2" s="2" t="s">
        <v>76</v>
      </c>
      <c r="H2" s="2">
        <v>4</v>
      </c>
      <c r="I2" s="2">
        <v>279.60000000000002</v>
      </c>
      <c r="K2" s="2">
        <f>K13</f>
        <v>12.377642243355734</v>
      </c>
      <c r="L2" s="2">
        <f t="shared" ref="L2:AS2" si="0">L13</f>
        <v>11.090157590470785</v>
      </c>
      <c r="M2" s="2">
        <f t="shared" si="0"/>
        <v>76.532200166173482</v>
      </c>
      <c r="O2" s="2">
        <f t="shared" si="0"/>
        <v>33.848375695971669</v>
      </c>
      <c r="P2" s="2">
        <f t="shared" si="0"/>
        <v>2.3746950906910671</v>
      </c>
      <c r="Q2" s="2" t="e">
        <f t="shared" si="0"/>
        <v>#DIV/0!</v>
      </c>
      <c r="R2" s="2">
        <f t="shared" si="0"/>
        <v>4.3045283543440425</v>
      </c>
      <c r="S2" s="2" t="e">
        <f t="shared" si="0"/>
        <v>#DIV/0!</v>
      </c>
      <c r="T2" s="2" t="e">
        <f t="shared" si="0"/>
        <v>#DIV/0!</v>
      </c>
      <c r="U2" s="2" t="e">
        <f t="shared" si="0"/>
        <v>#DIV/0!</v>
      </c>
      <c r="V2" s="2" t="e">
        <f t="shared" si="0"/>
        <v>#DIV/0!</v>
      </c>
      <c r="W2" s="2" t="e">
        <f t="shared" si="0"/>
        <v>#DIV/0!</v>
      </c>
      <c r="X2" s="2" t="e">
        <f t="shared" si="0"/>
        <v>#DIV/0!</v>
      </c>
      <c r="Y2" s="2" t="e">
        <f t="shared" si="0"/>
        <v>#DIV/0!</v>
      </c>
      <c r="Z2" s="2" t="e">
        <f t="shared" si="0"/>
        <v>#DIV/0!</v>
      </c>
      <c r="AA2" s="2" t="e">
        <f t="shared" si="0"/>
        <v>#DIV/0!</v>
      </c>
      <c r="AB2" s="2" t="e">
        <f t="shared" si="0"/>
        <v>#DIV/0!</v>
      </c>
      <c r="AC2" s="2" t="e">
        <f t="shared" si="0"/>
        <v>#DIV/0!</v>
      </c>
      <c r="AD2" s="2" t="e">
        <f t="shared" si="0"/>
        <v>#DIV/0!</v>
      </c>
      <c r="AE2" s="2" t="e">
        <f t="shared" si="0"/>
        <v>#DIV/0!</v>
      </c>
      <c r="AF2" s="2" t="e">
        <f t="shared" si="0"/>
        <v>#DIV/0!</v>
      </c>
      <c r="AG2" s="2" t="e">
        <f t="shared" si="0"/>
        <v>#DIV/0!</v>
      </c>
      <c r="AH2" s="2" t="e">
        <f t="shared" si="0"/>
        <v>#DIV/0!</v>
      </c>
      <c r="AI2" s="2" t="e">
        <f t="shared" si="0"/>
        <v>#DIV/0!</v>
      </c>
      <c r="AJ2" s="2" t="e">
        <f t="shared" si="0"/>
        <v>#DIV/0!</v>
      </c>
      <c r="AK2" s="2" t="e">
        <f t="shared" si="0"/>
        <v>#DIV/0!</v>
      </c>
      <c r="AL2" s="2" t="e">
        <f t="shared" si="0"/>
        <v>#DIV/0!</v>
      </c>
      <c r="AM2" s="2" t="e">
        <f t="shared" si="0"/>
        <v>#DIV/0!</v>
      </c>
      <c r="AN2" s="2" t="e">
        <f t="shared" si="0"/>
        <v>#DIV/0!</v>
      </c>
      <c r="AO2" s="2" t="e">
        <f t="shared" si="0"/>
        <v>#DIV/0!</v>
      </c>
      <c r="AP2" s="2" t="e">
        <f t="shared" si="0"/>
        <v>#DIV/0!</v>
      </c>
      <c r="AQ2" s="2" t="e">
        <f t="shared" si="0"/>
        <v>#DIV/0!</v>
      </c>
      <c r="AR2" s="2">
        <f t="shared" si="0"/>
        <v>153.11483493502166</v>
      </c>
      <c r="AS2" s="2">
        <f t="shared" si="0"/>
        <v>83.792753394171385</v>
      </c>
    </row>
    <row r="3" spans="1:45" x14ac:dyDescent="0.25">
      <c r="A3" s="2" t="s">
        <v>234</v>
      </c>
      <c r="B3" s="2" t="s">
        <v>196</v>
      </c>
      <c r="C3" s="2">
        <v>36.114629999999998</v>
      </c>
      <c r="D3" s="2">
        <v>-94.560479999999998</v>
      </c>
      <c r="E3" s="2" t="s">
        <v>197</v>
      </c>
      <c r="F3" s="2">
        <v>5</v>
      </c>
      <c r="G3" s="2" t="s">
        <v>76</v>
      </c>
      <c r="H3" s="2">
        <v>4</v>
      </c>
      <c r="I3" s="2">
        <v>279.5</v>
      </c>
      <c r="K3" s="2">
        <f>K16</f>
        <v>17.367051322275099</v>
      </c>
      <c r="L3" s="2">
        <f t="shared" ref="L3:AS3" si="1">L16</f>
        <v>10.466605995603544</v>
      </c>
      <c r="M3" s="2">
        <f t="shared" si="1"/>
        <v>72.166342682121353</v>
      </c>
      <c r="O3" s="2">
        <f t="shared" si="1"/>
        <v>64.843712356410833</v>
      </c>
      <c r="P3" s="2">
        <f t="shared" si="1"/>
        <v>2.3611586145588097</v>
      </c>
      <c r="Q3" s="2" t="e">
        <f t="shared" si="1"/>
        <v>#DIV/0!</v>
      </c>
      <c r="R3" s="2">
        <f t="shared" si="1"/>
        <v>3.6027687243584845</v>
      </c>
      <c r="S3" s="2" t="e">
        <f t="shared" si="1"/>
        <v>#DIV/0!</v>
      </c>
      <c r="T3" s="2" t="e">
        <f t="shared" si="1"/>
        <v>#DIV/0!</v>
      </c>
      <c r="U3" s="2" t="e">
        <f t="shared" si="1"/>
        <v>#DIV/0!</v>
      </c>
      <c r="V3" s="2" t="e">
        <f t="shared" si="1"/>
        <v>#DIV/0!</v>
      </c>
      <c r="W3" s="2" t="e">
        <f t="shared" si="1"/>
        <v>#DIV/0!</v>
      </c>
      <c r="X3" s="2" t="e">
        <f t="shared" si="1"/>
        <v>#DIV/0!</v>
      </c>
      <c r="Y3" s="2" t="e">
        <f t="shared" si="1"/>
        <v>#DIV/0!</v>
      </c>
      <c r="Z3" s="2" t="e">
        <f t="shared" si="1"/>
        <v>#DIV/0!</v>
      </c>
      <c r="AA3" s="2" t="e">
        <f t="shared" si="1"/>
        <v>#DIV/0!</v>
      </c>
      <c r="AB3" s="2" t="e">
        <f t="shared" si="1"/>
        <v>#DIV/0!</v>
      </c>
      <c r="AC3" s="2" t="e">
        <f t="shared" si="1"/>
        <v>#DIV/0!</v>
      </c>
      <c r="AD3" s="2" t="e">
        <f t="shared" si="1"/>
        <v>#DIV/0!</v>
      </c>
      <c r="AE3" s="2" t="e">
        <f t="shared" si="1"/>
        <v>#DIV/0!</v>
      </c>
      <c r="AF3" s="2" t="e">
        <f t="shared" si="1"/>
        <v>#DIV/0!</v>
      </c>
      <c r="AG3" s="2" t="e">
        <f t="shared" si="1"/>
        <v>#DIV/0!</v>
      </c>
      <c r="AH3" s="2" t="e">
        <f t="shared" si="1"/>
        <v>#DIV/0!</v>
      </c>
      <c r="AI3" s="2" t="e">
        <f t="shared" si="1"/>
        <v>#DIV/0!</v>
      </c>
      <c r="AJ3" s="2" t="e">
        <f t="shared" si="1"/>
        <v>#DIV/0!</v>
      </c>
      <c r="AK3" s="2" t="e">
        <f t="shared" si="1"/>
        <v>#DIV/0!</v>
      </c>
      <c r="AL3" s="2" t="e">
        <f t="shared" si="1"/>
        <v>#DIV/0!</v>
      </c>
      <c r="AM3" s="2" t="e">
        <f t="shared" si="1"/>
        <v>#DIV/0!</v>
      </c>
      <c r="AN3" s="2" t="e">
        <f t="shared" si="1"/>
        <v>#DIV/0!</v>
      </c>
      <c r="AO3" s="2" t="e">
        <f t="shared" si="1"/>
        <v>#DIV/0!</v>
      </c>
      <c r="AP3" s="2" t="e">
        <f t="shared" si="1"/>
        <v>#DIV/0!</v>
      </c>
      <c r="AQ3" s="2" t="e">
        <f t="shared" si="1"/>
        <v>#DIV/0!</v>
      </c>
      <c r="AR3" s="2">
        <f t="shared" si="1"/>
        <v>148.92918580416972</v>
      </c>
      <c r="AS3" s="2">
        <f t="shared" si="1"/>
        <v>81.41033060563035</v>
      </c>
    </row>
    <row r="4" spans="1:45" x14ac:dyDescent="0.25">
      <c r="A4" s="2" t="s">
        <v>235</v>
      </c>
      <c r="B4" s="2" t="s">
        <v>198</v>
      </c>
      <c r="C4" s="2">
        <v>36.114159999999998</v>
      </c>
      <c r="D4" s="2">
        <v>-94.561660000000003</v>
      </c>
      <c r="E4" s="2" t="s">
        <v>199</v>
      </c>
      <c r="F4" s="2">
        <v>5</v>
      </c>
      <c r="G4" s="2" t="s">
        <v>76</v>
      </c>
      <c r="H4" s="2">
        <v>3</v>
      </c>
      <c r="I4" s="2">
        <v>279.5</v>
      </c>
      <c r="K4" s="2">
        <f>K19</f>
        <v>11.099746106679188</v>
      </c>
      <c r="L4" s="2">
        <f t="shared" ref="L4:AS4" si="2">L19</f>
        <v>11.718415677419641</v>
      </c>
      <c r="M4" s="2">
        <f t="shared" si="2"/>
        <v>77.181838215901166</v>
      </c>
      <c r="O4" s="2">
        <f t="shared" si="2"/>
        <v>34.342581336450422</v>
      </c>
      <c r="P4" s="2">
        <f t="shared" si="2"/>
        <v>2.2351261458315901</v>
      </c>
      <c r="Q4" s="2" t="e">
        <f t="shared" si="2"/>
        <v>#DIV/0!</v>
      </c>
      <c r="R4" s="2">
        <f t="shared" si="2"/>
        <v>3.1778236169156902</v>
      </c>
      <c r="S4" s="2" t="e">
        <f t="shared" si="2"/>
        <v>#DIV/0!</v>
      </c>
      <c r="T4" s="2" t="e">
        <f t="shared" si="2"/>
        <v>#DIV/0!</v>
      </c>
      <c r="U4" s="2" t="e">
        <f t="shared" si="2"/>
        <v>#DIV/0!</v>
      </c>
      <c r="V4" s="2" t="e">
        <f t="shared" si="2"/>
        <v>#DIV/0!</v>
      </c>
      <c r="W4" s="2" t="e">
        <f t="shared" si="2"/>
        <v>#DIV/0!</v>
      </c>
      <c r="X4" s="2" t="e">
        <f t="shared" si="2"/>
        <v>#DIV/0!</v>
      </c>
      <c r="Y4" s="2" t="e">
        <f t="shared" si="2"/>
        <v>#DIV/0!</v>
      </c>
      <c r="Z4" s="2" t="e">
        <f t="shared" si="2"/>
        <v>#DIV/0!</v>
      </c>
      <c r="AA4" s="2" t="e">
        <f t="shared" si="2"/>
        <v>#DIV/0!</v>
      </c>
      <c r="AB4" s="2" t="e">
        <f t="shared" si="2"/>
        <v>#DIV/0!</v>
      </c>
      <c r="AC4" s="2" t="e">
        <f t="shared" si="2"/>
        <v>#DIV/0!</v>
      </c>
      <c r="AD4" s="2" t="e">
        <f t="shared" si="2"/>
        <v>#DIV/0!</v>
      </c>
      <c r="AE4" s="2" t="e">
        <f t="shared" si="2"/>
        <v>#DIV/0!</v>
      </c>
      <c r="AF4" s="2" t="e">
        <f t="shared" si="2"/>
        <v>#DIV/0!</v>
      </c>
      <c r="AG4" s="2" t="e">
        <f t="shared" si="2"/>
        <v>#DIV/0!</v>
      </c>
      <c r="AH4" s="2" t="e">
        <f t="shared" si="2"/>
        <v>#DIV/0!</v>
      </c>
      <c r="AI4" s="2" t="e">
        <f t="shared" si="2"/>
        <v>#DIV/0!</v>
      </c>
      <c r="AJ4" s="2" t="e">
        <f t="shared" si="2"/>
        <v>#DIV/0!</v>
      </c>
      <c r="AK4" s="2" t="e">
        <f t="shared" si="2"/>
        <v>#DIV/0!</v>
      </c>
      <c r="AL4" s="2" t="e">
        <f t="shared" si="2"/>
        <v>#DIV/0!</v>
      </c>
      <c r="AM4" s="2" t="e">
        <f t="shared" si="2"/>
        <v>#DIV/0!</v>
      </c>
      <c r="AN4" s="2" t="e">
        <f t="shared" si="2"/>
        <v>#DIV/0!</v>
      </c>
      <c r="AO4" s="2" t="e">
        <f t="shared" si="2"/>
        <v>#DIV/0!</v>
      </c>
      <c r="AP4" s="2" t="e">
        <f t="shared" si="2"/>
        <v>#DIV/0!</v>
      </c>
      <c r="AQ4" s="2" t="e">
        <f t="shared" si="2"/>
        <v>#DIV/0!</v>
      </c>
      <c r="AR4" s="2">
        <f t="shared" si="2"/>
        <v>182.18728226587069</v>
      </c>
      <c r="AS4" s="2">
        <f t="shared" si="2"/>
        <v>100.17734483232317</v>
      </c>
    </row>
    <row r="5" spans="1:45" x14ac:dyDescent="0.25">
      <c r="A5" s="2" t="s">
        <v>236</v>
      </c>
      <c r="B5" s="2" t="s">
        <v>200</v>
      </c>
      <c r="C5" s="2">
        <v>36.11233</v>
      </c>
      <c r="D5" s="2">
        <v>-94.562200000000004</v>
      </c>
      <c r="E5" s="2" t="s">
        <v>201</v>
      </c>
      <c r="F5" s="2">
        <v>5</v>
      </c>
      <c r="G5" s="2" t="s">
        <v>76</v>
      </c>
      <c r="H5" s="2">
        <v>2</v>
      </c>
      <c r="I5" s="2">
        <v>279.7</v>
      </c>
      <c r="K5" s="10">
        <f>K22</f>
        <v>17.350435063791785</v>
      </c>
      <c r="L5" s="10">
        <f t="shared" ref="L5:AS5" si="3">L22</f>
        <v>18.588699324061011</v>
      </c>
      <c r="M5" s="10">
        <f t="shared" si="3"/>
        <v>64.060865612147211</v>
      </c>
      <c r="N5" s="10"/>
      <c r="O5" s="10">
        <f t="shared" si="3"/>
        <v>34.571252548439752</v>
      </c>
      <c r="P5" s="10">
        <f t="shared" si="3"/>
        <v>2.1669238568952016</v>
      </c>
      <c r="Q5" s="10" t="e">
        <f t="shared" si="3"/>
        <v>#DIV/0!</v>
      </c>
      <c r="R5" s="10">
        <f t="shared" si="3"/>
        <v>3.223286105224882</v>
      </c>
      <c r="S5" s="10" t="e">
        <f t="shared" si="3"/>
        <v>#DIV/0!</v>
      </c>
      <c r="T5" s="10" t="e">
        <f t="shared" si="3"/>
        <v>#DIV/0!</v>
      </c>
      <c r="U5" s="10" t="e">
        <f t="shared" si="3"/>
        <v>#DIV/0!</v>
      </c>
      <c r="V5" s="10" t="e">
        <f t="shared" si="3"/>
        <v>#DIV/0!</v>
      </c>
      <c r="W5" s="10" t="e">
        <f t="shared" si="3"/>
        <v>#DIV/0!</v>
      </c>
      <c r="X5" s="10" t="e">
        <f t="shared" si="3"/>
        <v>#DIV/0!</v>
      </c>
      <c r="Y5" s="10" t="e">
        <f t="shared" si="3"/>
        <v>#DIV/0!</v>
      </c>
      <c r="Z5" s="10" t="e">
        <f t="shared" si="3"/>
        <v>#DIV/0!</v>
      </c>
      <c r="AA5" s="10" t="e">
        <f t="shared" si="3"/>
        <v>#DIV/0!</v>
      </c>
      <c r="AB5" s="10" t="e">
        <f t="shared" si="3"/>
        <v>#DIV/0!</v>
      </c>
      <c r="AC5" s="10" t="e">
        <f t="shared" si="3"/>
        <v>#DIV/0!</v>
      </c>
      <c r="AD5" s="10" t="e">
        <f t="shared" si="3"/>
        <v>#DIV/0!</v>
      </c>
      <c r="AE5" s="10" t="e">
        <f t="shared" si="3"/>
        <v>#DIV/0!</v>
      </c>
      <c r="AF5" s="10" t="e">
        <f t="shared" si="3"/>
        <v>#DIV/0!</v>
      </c>
      <c r="AG5" s="10" t="e">
        <f t="shared" si="3"/>
        <v>#DIV/0!</v>
      </c>
      <c r="AH5" s="10" t="e">
        <f t="shared" si="3"/>
        <v>#DIV/0!</v>
      </c>
      <c r="AI5" s="10" t="e">
        <f t="shared" si="3"/>
        <v>#DIV/0!</v>
      </c>
      <c r="AJ5" s="10" t="e">
        <f t="shared" si="3"/>
        <v>#DIV/0!</v>
      </c>
      <c r="AK5" s="10" t="e">
        <f t="shared" si="3"/>
        <v>#DIV/0!</v>
      </c>
      <c r="AL5" s="10" t="e">
        <f t="shared" si="3"/>
        <v>#DIV/0!</v>
      </c>
      <c r="AM5" s="10" t="e">
        <f t="shared" si="3"/>
        <v>#DIV/0!</v>
      </c>
      <c r="AN5" s="10" t="e">
        <f t="shared" si="3"/>
        <v>#DIV/0!</v>
      </c>
      <c r="AO5" s="10" t="e">
        <f t="shared" si="3"/>
        <v>#DIV/0!</v>
      </c>
      <c r="AP5" s="10" t="e">
        <f t="shared" si="3"/>
        <v>#DIV/0!</v>
      </c>
      <c r="AQ5" s="10" t="e">
        <f t="shared" si="3"/>
        <v>#DIV/0!</v>
      </c>
      <c r="AR5" s="10">
        <f t="shared" si="3"/>
        <v>347.89102633752248</v>
      </c>
      <c r="AS5" s="10">
        <f t="shared" si="3"/>
        <v>197.69047390791798</v>
      </c>
    </row>
    <row r="10" spans="1:45" x14ac:dyDescent="0.25">
      <c r="A10" s="2" t="s">
        <v>4</v>
      </c>
      <c r="F10" s="2" t="s">
        <v>202</v>
      </c>
      <c r="G10" s="2" t="s">
        <v>6</v>
      </c>
      <c r="H10" s="2" t="s">
        <v>203</v>
      </c>
      <c r="I10" s="2" t="s">
        <v>204</v>
      </c>
      <c r="K10" s="2" t="s">
        <v>205</v>
      </c>
      <c r="L10" s="2" t="s">
        <v>206</v>
      </c>
      <c r="M10" s="2" t="s">
        <v>207</v>
      </c>
      <c r="N10" s="2" t="s">
        <v>208</v>
      </c>
      <c r="O10" s="2" t="s">
        <v>14</v>
      </c>
      <c r="P10" s="2" t="s">
        <v>15</v>
      </c>
      <c r="Q10" s="2" t="s">
        <v>209</v>
      </c>
      <c r="R10" s="2" t="s">
        <v>18</v>
      </c>
      <c r="S10" s="2" t="s">
        <v>210</v>
      </c>
      <c r="T10" s="2" t="s">
        <v>211</v>
      </c>
      <c r="U10" s="2" t="s">
        <v>21</v>
      </c>
      <c r="V10" s="2" t="s">
        <v>212</v>
      </c>
      <c r="W10" s="2" t="s">
        <v>213</v>
      </c>
      <c r="X10" s="2" t="s">
        <v>214</v>
      </c>
      <c r="Y10" s="2" t="s">
        <v>215</v>
      </c>
      <c r="Z10" s="2" t="s">
        <v>216</v>
      </c>
      <c r="AA10" s="2" t="s">
        <v>217</v>
      </c>
      <c r="AB10" s="2" t="s">
        <v>218</v>
      </c>
      <c r="AC10" s="2" t="s">
        <v>219</v>
      </c>
      <c r="AD10" s="2" t="s">
        <v>220</v>
      </c>
      <c r="AE10" s="2" t="s">
        <v>221</v>
      </c>
      <c r="AF10" s="2" t="s">
        <v>222</v>
      </c>
      <c r="AG10" s="2" t="s">
        <v>223</v>
      </c>
      <c r="AH10" s="2" t="s">
        <v>224</v>
      </c>
      <c r="AI10" s="2" t="s">
        <v>225</v>
      </c>
      <c r="AJ10" s="2" t="s">
        <v>226</v>
      </c>
      <c r="AK10" s="2" t="s">
        <v>227</v>
      </c>
      <c r="AL10" s="2" t="s">
        <v>228</v>
      </c>
      <c r="AM10" s="2" t="s">
        <v>229</v>
      </c>
      <c r="AN10" s="2" t="s">
        <v>230</v>
      </c>
      <c r="AO10" s="2" t="s">
        <v>231</v>
      </c>
      <c r="AP10" s="2" t="s">
        <v>232</v>
      </c>
      <c r="AR10" s="2" t="s">
        <v>43</v>
      </c>
      <c r="AS10" s="2" t="s">
        <v>44</v>
      </c>
    </row>
    <row r="11" spans="1:45" s="3" customFormat="1" x14ac:dyDescent="0.25">
      <c r="A11" s="2" t="s">
        <v>238</v>
      </c>
      <c r="B11" s="2"/>
      <c r="C11" s="2"/>
      <c r="D11" s="2"/>
      <c r="E11" s="2"/>
      <c r="F11" s="3">
        <v>5</v>
      </c>
      <c r="G11" s="3" t="s">
        <v>76</v>
      </c>
      <c r="H11" s="3">
        <v>4</v>
      </c>
      <c r="I11" s="4">
        <v>279.56522000000001</v>
      </c>
      <c r="K11" s="5">
        <v>11.120215030126198</v>
      </c>
      <c r="L11" s="5">
        <v>11.091237922041588</v>
      </c>
      <c r="M11" s="5">
        <v>77.788547047832211</v>
      </c>
      <c r="N11" s="3" t="s">
        <v>246</v>
      </c>
      <c r="O11" s="5">
        <v>36.901108009958449</v>
      </c>
      <c r="P11" s="5">
        <v>2.3791288637524071</v>
      </c>
      <c r="Q11" s="6"/>
      <c r="R11" s="5">
        <v>4.8878819178356041</v>
      </c>
      <c r="S11" s="7"/>
      <c r="T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5">
        <v>172.72364217252408</v>
      </c>
      <c r="AS11" s="5">
        <v>94.807202755040294</v>
      </c>
    </row>
    <row r="12" spans="1:45" s="3" customFormat="1" ht="27.6" x14ac:dyDescent="0.25">
      <c r="A12" s="8" t="s">
        <v>239</v>
      </c>
      <c r="B12" s="8"/>
      <c r="C12" s="8"/>
      <c r="D12" s="8"/>
      <c r="E12" s="8"/>
      <c r="F12" s="3">
        <v>10</v>
      </c>
      <c r="G12" s="3" t="s">
        <v>76</v>
      </c>
      <c r="H12" s="3">
        <v>4</v>
      </c>
      <c r="I12" s="4">
        <v>279.56522000000001</v>
      </c>
      <c r="K12" s="5">
        <v>13.635069456585269</v>
      </c>
      <c r="L12" s="5">
        <v>11.089077258899982</v>
      </c>
      <c r="M12" s="5">
        <v>75.275853284514753</v>
      </c>
      <c r="N12" s="3" t="s">
        <v>246</v>
      </c>
      <c r="O12" s="5">
        <v>30.795643381984888</v>
      </c>
      <c r="P12" s="5">
        <v>2.3702613176297267</v>
      </c>
      <c r="Q12" s="6"/>
      <c r="R12" s="5">
        <v>3.7211747908524808</v>
      </c>
      <c r="S12" s="7"/>
      <c r="T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5">
        <v>133.50602769751924</v>
      </c>
      <c r="AS12" s="5">
        <v>72.778304033302476</v>
      </c>
    </row>
    <row r="13" spans="1:45" s="1" customFormat="1" x14ac:dyDescent="0.25">
      <c r="K13" s="1">
        <f>AVERAGE(K11:K12)</f>
        <v>12.377642243355734</v>
      </c>
      <c r="L13" s="1">
        <f t="shared" ref="L13:AS13" si="4">AVERAGE(L11:L12)</f>
        <v>11.090157590470785</v>
      </c>
      <c r="M13" s="1">
        <f t="shared" si="4"/>
        <v>76.532200166173482</v>
      </c>
      <c r="N13" s="1" t="s">
        <v>246</v>
      </c>
      <c r="O13" s="1">
        <f t="shared" si="4"/>
        <v>33.848375695971669</v>
      </c>
      <c r="P13" s="1">
        <f t="shared" si="4"/>
        <v>2.3746950906910671</v>
      </c>
      <c r="Q13" s="1" t="e">
        <f t="shared" si="4"/>
        <v>#DIV/0!</v>
      </c>
      <c r="R13" s="1">
        <f t="shared" si="4"/>
        <v>4.3045283543440425</v>
      </c>
      <c r="S13" s="1" t="e">
        <f t="shared" si="4"/>
        <v>#DIV/0!</v>
      </c>
      <c r="T13" s="1" t="e">
        <f t="shared" si="4"/>
        <v>#DIV/0!</v>
      </c>
      <c r="U13" s="1" t="e">
        <f t="shared" si="4"/>
        <v>#DIV/0!</v>
      </c>
      <c r="V13" s="1" t="e">
        <f t="shared" si="4"/>
        <v>#DIV/0!</v>
      </c>
      <c r="W13" s="1" t="e">
        <f t="shared" si="4"/>
        <v>#DIV/0!</v>
      </c>
      <c r="X13" s="1" t="e">
        <f t="shared" si="4"/>
        <v>#DIV/0!</v>
      </c>
      <c r="Y13" s="1" t="e">
        <f t="shared" si="4"/>
        <v>#DIV/0!</v>
      </c>
      <c r="Z13" s="1" t="e">
        <f t="shared" si="4"/>
        <v>#DIV/0!</v>
      </c>
      <c r="AA13" s="1" t="e">
        <f t="shared" si="4"/>
        <v>#DIV/0!</v>
      </c>
      <c r="AB13" s="1" t="e">
        <f t="shared" si="4"/>
        <v>#DIV/0!</v>
      </c>
      <c r="AC13" s="1" t="e">
        <f t="shared" si="4"/>
        <v>#DIV/0!</v>
      </c>
      <c r="AD13" s="1" t="e">
        <f t="shared" si="4"/>
        <v>#DIV/0!</v>
      </c>
      <c r="AE13" s="1" t="e">
        <f t="shared" si="4"/>
        <v>#DIV/0!</v>
      </c>
      <c r="AF13" s="1" t="e">
        <f t="shared" si="4"/>
        <v>#DIV/0!</v>
      </c>
      <c r="AG13" s="1" t="e">
        <f t="shared" si="4"/>
        <v>#DIV/0!</v>
      </c>
      <c r="AH13" s="1" t="e">
        <f t="shared" si="4"/>
        <v>#DIV/0!</v>
      </c>
      <c r="AI13" s="1" t="e">
        <f t="shared" si="4"/>
        <v>#DIV/0!</v>
      </c>
      <c r="AJ13" s="1" t="e">
        <f t="shared" si="4"/>
        <v>#DIV/0!</v>
      </c>
      <c r="AK13" s="1" t="e">
        <f t="shared" si="4"/>
        <v>#DIV/0!</v>
      </c>
      <c r="AL13" s="1" t="e">
        <f t="shared" si="4"/>
        <v>#DIV/0!</v>
      </c>
      <c r="AM13" s="1" t="e">
        <f t="shared" si="4"/>
        <v>#DIV/0!</v>
      </c>
      <c r="AN13" s="1" t="e">
        <f t="shared" si="4"/>
        <v>#DIV/0!</v>
      </c>
      <c r="AO13" s="1" t="e">
        <f t="shared" si="4"/>
        <v>#DIV/0!</v>
      </c>
      <c r="AP13" s="1" t="e">
        <f t="shared" si="4"/>
        <v>#DIV/0!</v>
      </c>
      <c r="AQ13" s="1" t="e">
        <f t="shared" si="4"/>
        <v>#DIV/0!</v>
      </c>
      <c r="AR13" s="1">
        <f t="shared" si="4"/>
        <v>153.11483493502166</v>
      </c>
      <c r="AS13" s="1">
        <f t="shared" si="4"/>
        <v>83.792753394171385</v>
      </c>
    </row>
    <row r="14" spans="1:45" s="3" customFormat="1" x14ac:dyDescent="0.25">
      <c r="A14" s="8" t="s">
        <v>240</v>
      </c>
      <c r="B14" s="8"/>
      <c r="C14" s="8"/>
      <c r="D14" s="8"/>
      <c r="E14" s="8"/>
      <c r="F14" s="3">
        <v>5</v>
      </c>
      <c r="G14" s="3" t="s">
        <v>76</v>
      </c>
      <c r="H14" s="3">
        <v>4</v>
      </c>
      <c r="I14" s="4">
        <v>279.49169999999998</v>
      </c>
      <c r="K14" s="5">
        <v>19.891523933905511</v>
      </c>
      <c r="L14" s="5">
        <v>9.838759217593898</v>
      </c>
      <c r="M14" s="5">
        <v>70.269716848500593</v>
      </c>
      <c r="O14" s="5">
        <v>49.219528820346774</v>
      </c>
      <c r="P14" s="5">
        <v>2.7454895528774141</v>
      </c>
      <c r="Q14" s="6"/>
      <c r="R14" s="5">
        <v>3.719256148770246</v>
      </c>
      <c r="S14" s="7"/>
      <c r="T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5">
        <v>139.79031452820769</v>
      </c>
      <c r="AS14" s="5">
        <v>76.283565967363472</v>
      </c>
    </row>
    <row r="15" spans="1:45" s="3" customFormat="1" ht="27.6" x14ac:dyDescent="0.25">
      <c r="A15" s="8" t="s">
        <v>241</v>
      </c>
      <c r="B15" s="8"/>
      <c r="C15" s="8"/>
      <c r="D15" s="8"/>
      <c r="E15" s="8"/>
      <c r="F15" s="3">
        <v>10</v>
      </c>
      <c r="G15" s="3" t="s">
        <v>76</v>
      </c>
      <c r="H15" s="3">
        <v>4</v>
      </c>
      <c r="I15" s="4">
        <v>279.49169999999998</v>
      </c>
      <c r="K15" s="5">
        <v>14.842578710644688</v>
      </c>
      <c r="L15" s="5">
        <v>11.09445277361319</v>
      </c>
      <c r="M15" s="5">
        <v>74.062968515742114</v>
      </c>
      <c r="O15" s="5">
        <v>80.467895892474885</v>
      </c>
      <c r="P15" s="5">
        <v>1.9768276762402048</v>
      </c>
      <c r="Q15" s="6"/>
      <c r="R15" s="5">
        <v>3.486281299946723</v>
      </c>
      <c r="S15" s="7"/>
      <c r="T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5">
        <v>158.06805708013178</v>
      </c>
      <c r="AS15" s="5">
        <v>86.537095243897213</v>
      </c>
    </row>
    <row r="16" spans="1:45" s="1" customFormat="1" x14ac:dyDescent="0.25">
      <c r="K16" s="1">
        <f>AVERAGE(K14:K15)</f>
        <v>17.367051322275099</v>
      </c>
      <c r="L16" s="1">
        <f t="shared" ref="L16" si="5">AVERAGE(L14:L15)</f>
        <v>10.466605995603544</v>
      </c>
      <c r="M16" s="1">
        <f t="shared" ref="M16" si="6">AVERAGE(M14:M15)</f>
        <v>72.166342682121353</v>
      </c>
      <c r="N16" s="1" t="s">
        <v>247</v>
      </c>
      <c r="O16" s="1">
        <f t="shared" ref="O16:AS16" si="7">AVERAGE(O14:O15)</f>
        <v>64.843712356410833</v>
      </c>
      <c r="P16" s="1">
        <f t="shared" si="7"/>
        <v>2.3611586145588097</v>
      </c>
      <c r="Q16" s="1" t="e">
        <f t="shared" si="7"/>
        <v>#DIV/0!</v>
      </c>
      <c r="R16" s="1">
        <f t="shared" si="7"/>
        <v>3.6027687243584845</v>
      </c>
      <c r="S16" s="1" t="e">
        <f t="shared" si="7"/>
        <v>#DIV/0!</v>
      </c>
      <c r="T16" s="1" t="e">
        <f t="shared" si="7"/>
        <v>#DIV/0!</v>
      </c>
      <c r="U16" s="1" t="e">
        <f t="shared" si="7"/>
        <v>#DIV/0!</v>
      </c>
      <c r="V16" s="1" t="e">
        <f t="shared" si="7"/>
        <v>#DIV/0!</v>
      </c>
      <c r="W16" s="1" t="e">
        <f t="shared" si="7"/>
        <v>#DIV/0!</v>
      </c>
      <c r="X16" s="1" t="e">
        <f t="shared" si="7"/>
        <v>#DIV/0!</v>
      </c>
      <c r="Y16" s="1" t="e">
        <f t="shared" si="7"/>
        <v>#DIV/0!</v>
      </c>
      <c r="Z16" s="1" t="e">
        <f t="shared" si="7"/>
        <v>#DIV/0!</v>
      </c>
      <c r="AA16" s="1" t="e">
        <f t="shared" si="7"/>
        <v>#DIV/0!</v>
      </c>
      <c r="AB16" s="1" t="e">
        <f t="shared" si="7"/>
        <v>#DIV/0!</v>
      </c>
      <c r="AC16" s="1" t="e">
        <f t="shared" si="7"/>
        <v>#DIV/0!</v>
      </c>
      <c r="AD16" s="1" t="e">
        <f t="shared" si="7"/>
        <v>#DIV/0!</v>
      </c>
      <c r="AE16" s="1" t="e">
        <f t="shared" si="7"/>
        <v>#DIV/0!</v>
      </c>
      <c r="AF16" s="1" t="e">
        <f t="shared" si="7"/>
        <v>#DIV/0!</v>
      </c>
      <c r="AG16" s="1" t="e">
        <f t="shared" si="7"/>
        <v>#DIV/0!</v>
      </c>
      <c r="AH16" s="1" t="e">
        <f t="shared" si="7"/>
        <v>#DIV/0!</v>
      </c>
      <c r="AI16" s="1" t="e">
        <f t="shared" si="7"/>
        <v>#DIV/0!</v>
      </c>
      <c r="AJ16" s="1" t="e">
        <f t="shared" si="7"/>
        <v>#DIV/0!</v>
      </c>
      <c r="AK16" s="1" t="e">
        <f t="shared" si="7"/>
        <v>#DIV/0!</v>
      </c>
      <c r="AL16" s="1" t="e">
        <f t="shared" si="7"/>
        <v>#DIV/0!</v>
      </c>
      <c r="AM16" s="1" t="e">
        <f t="shared" si="7"/>
        <v>#DIV/0!</v>
      </c>
      <c r="AN16" s="1" t="e">
        <f t="shared" si="7"/>
        <v>#DIV/0!</v>
      </c>
      <c r="AO16" s="1" t="e">
        <f t="shared" si="7"/>
        <v>#DIV/0!</v>
      </c>
      <c r="AP16" s="1" t="e">
        <f t="shared" si="7"/>
        <v>#DIV/0!</v>
      </c>
      <c r="AQ16" s="1" t="e">
        <f t="shared" si="7"/>
        <v>#DIV/0!</v>
      </c>
      <c r="AR16" s="1">
        <f t="shared" si="7"/>
        <v>148.92918580416972</v>
      </c>
      <c r="AS16" s="1">
        <f t="shared" si="7"/>
        <v>81.41033060563035</v>
      </c>
    </row>
    <row r="17" spans="1:45" s="3" customFormat="1" x14ac:dyDescent="0.25">
      <c r="A17" s="8" t="s">
        <v>242</v>
      </c>
      <c r="B17" s="8"/>
      <c r="C17" s="8"/>
      <c r="D17" s="8"/>
      <c r="E17" s="8"/>
      <c r="F17" s="3">
        <v>5</v>
      </c>
      <c r="G17" s="3" t="s">
        <v>76</v>
      </c>
      <c r="H17" s="3">
        <v>3</v>
      </c>
      <c r="I17" s="4">
        <v>279.49770999999998</v>
      </c>
      <c r="K17" s="5">
        <v>9.8556641274013401</v>
      </c>
      <c r="L17" s="5">
        <v>12.342378581226091</v>
      </c>
      <c r="M17" s="5">
        <v>77.80195729137256</v>
      </c>
      <c r="O17" s="5">
        <v>37.18</v>
      </c>
      <c r="P17" s="5">
        <v>2.68</v>
      </c>
      <c r="Q17" s="6"/>
      <c r="R17" s="5">
        <v>3.4182908545727138</v>
      </c>
      <c r="S17" s="7"/>
      <c r="T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5">
        <v>176.18857371154598</v>
      </c>
      <c r="AS17" s="5">
        <v>96.768267105761907</v>
      </c>
    </row>
    <row r="18" spans="1:45" s="3" customFormat="1" ht="27.6" x14ac:dyDescent="0.25">
      <c r="A18" s="8" t="s">
        <v>243</v>
      </c>
      <c r="B18" s="8"/>
      <c r="C18" s="8"/>
      <c r="D18" s="8"/>
      <c r="E18" s="8"/>
      <c r="F18" s="3">
        <v>10</v>
      </c>
      <c r="G18" s="3" t="s">
        <v>76</v>
      </c>
      <c r="H18" s="3">
        <v>3</v>
      </c>
      <c r="I18" s="4">
        <v>279.49770999999998</v>
      </c>
      <c r="K18" s="5">
        <v>12.343828085957034</v>
      </c>
      <c r="L18" s="5">
        <v>11.09445277361319</v>
      </c>
      <c r="M18" s="5">
        <v>76.561719140429773</v>
      </c>
      <c r="O18" s="5">
        <v>31.505162672900848</v>
      </c>
      <c r="P18" s="5">
        <v>1.7902522916631802</v>
      </c>
      <c r="Q18" s="6"/>
      <c r="R18" s="5">
        <v>2.937356379258667</v>
      </c>
      <c r="S18" s="7"/>
      <c r="T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5">
        <v>188.18599082019543</v>
      </c>
      <c r="AS18" s="5">
        <v>103.58642255888444</v>
      </c>
    </row>
    <row r="19" spans="1:45" s="1" customFormat="1" x14ac:dyDescent="0.25">
      <c r="K19" s="1">
        <f>AVERAGE(K17:K18)</f>
        <v>11.099746106679188</v>
      </c>
      <c r="L19" s="1">
        <f t="shared" ref="L19" si="8">AVERAGE(L17:L18)</f>
        <v>11.718415677419641</v>
      </c>
      <c r="M19" s="1">
        <f t="shared" ref="M19" si="9">AVERAGE(M17:M18)</f>
        <v>77.181838215901166</v>
      </c>
      <c r="N19" s="1" t="s">
        <v>246</v>
      </c>
      <c r="O19" s="1">
        <f t="shared" ref="O19:AS19" si="10">AVERAGE(O17:O18)</f>
        <v>34.342581336450422</v>
      </c>
      <c r="P19" s="1">
        <f t="shared" si="10"/>
        <v>2.2351261458315901</v>
      </c>
      <c r="Q19" s="1" t="e">
        <f t="shared" si="10"/>
        <v>#DIV/0!</v>
      </c>
      <c r="R19" s="1">
        <f t="shared" si="10"/>
        <v>3.1778236169156902</v>
      </c>
      <c r="S19" s="1" t="e">
        <f t="shared" si="10"/>
        <v>#DIV/0!</v>
      </c>
      <c r="T19" s="1" t="e">
        <f t="shared" si="10"/>
        <v>#DIV/0!</v>
      </c>
      <c r="U19" s="1" t="e">
        <f t="shared" si="10"/>
        <v>#DIV/0!</v>
      </c>
      <c r="V19" s="1" t="e">
        <f t="shared" si="10"/>
        <v>#DIV/0!</v>
      </c>
      <c r="W19" s="1" t="e">
        <f t="shared" si="10"/>
        <v>#DIV/0!</v>
      </c>
      <c r="X19" s="1" t="e">
        <f t="shared" si="10"/>
        <v>#DIV/0!</v>
      </c>
      <c r="Y19" s="1" t="e">
        <f t="shared" si="10"/>
        <v>#DIV/0!</v>
      </c>
      <c r="Z19" s="1" t="e">
        <f t="shared" si="10"/>
        <v>#DIV/0!</v>
      </c>
      <c r="AA19" s="1" t="e">
        <f t="shared" si="10"/>
        <v>#DIV/0!</v>
      </c>
      <c r="AB19" s="1" t="e">
        <f t="shared" si="10"/>
        <v>#DIV/0!</v>
      </c>
      <c r="AC19" s="1" t="e">
        <f t="shared" si="10"/>
        <v>#DIV/0!</v>
      </c>
      <c r="AD19" s="1" t="e">
        <f t="shared" si="10"/>
        <v>#DIV/0!</v>
      </c>
      <c r="AE19" s="1" t="e">
        <f t="shared" si="10"/>
        <v>#DIV/0!</v>
      </c>
      <c r="AF19" s="1" t="e">
        <f t="shared" si="10"/>
        <v>#DIV/0!</v>
      </c>
      <c r="AG19" s="1" t="e">
        <f t="shared" si="10"/>
        <v>#DIV/0!</v>
      </c>
      <c r="AH19" s="1" t="e">
        <f t="shared" si="10"/>
        <v>#DIV/0!</v>
      </c>
      <c r="AI19" s="1" t="e">
        <f t="shared" si="10"/>
        <v>#DIV/0!</v>
      </c>
      <c r="AJ19" s="1" t="e">
        <f t="shared" si="10"/>
        <v>#DIV/0!</v>
      </c>
      <c r="AK19" s="1" t="e">
        <f t="shared" si="10"/>
        <v>#DIV/0!</v>
      </c>
      <c r="AL19" s="1" t="e">
        <f t="shared" si="10"/>
        <v>#DIV/0!</v>
      </c>
      <c r="AM19" s="1" t="e">
        <f t="shared" si="10"/>
        <v>#DIV/0!</v>
      </c>
      <c r="AN19" s="1" t="e">
        <f t="shared" si="10"/>
        <v>#DIV/0!</v>
      </c>
      <c r="AO19" s="1" t="e">
        <f t="shared" si="10"/>
        <v>#DIV/0!</v>
      </c>
      <c r="AP19" s="1" t="e">
        <f t="shared" si="10"/>
        <v>#DIV/0!</v>
      </c>
      <c r="AQ19" s="1" t="e">
        <f t="shared" si="10"/>
        <v>#DIV/0!</v>
      </c>
      <c r="AR19" s="1">
        <f t="shared" si="10"/>
        <v>182.18728226587069</v>
      </c>
      <c r="AS19" s="1">
        <f t="shared" si="10"/>
        <v>100.17734483232317</v>
      </c>
    </row>
    <row r="20" spans="1:45" s="3" customFormat="1" x14ac:dyDescent="0.25">
      <c r="A20" s="8" t="s">
        <v>244</v>
      </c>
      <c r="B20" s="8"/>
      <c r="C20" s="8"/>
      <c r="D20" s="8"/>
      <c r="E20" s="8"/>
      <c r="F20" s="3">
        <v>5</v>
      </c>
      <c r="G20" s="3" t="s">
        <v>76</v>
      </c>
      <c r="H20" s="3">
        <v>2</v>
      </c>
      <c r="I20" s="4">
        <v>279.69254000000001</v>
      </c>
      <c r="K20" s="5">
        <v>13.594067025816841</v>
      </c>
      <c r="L20" s="5">
        <v>19.839881660353218</v>
      </c>
      <c r="M20" s="5">
        <v>66.566051313829945</v>
      </c>
      <c r="O20" s="5">
        <v>36.079463077517893</v>
      </c>
      <c r="P20" s="5">
        <v>2.1335460484465303</v>
      </c>
      <c r="Q20" s="6"/>
      <c r="R20" s="5">
        <v>2.5993934748558667</v>
      </c>
      <c r="S20" s="7"/>
      <c r="T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5">
        <v>362.14976567952931</v>
      </c>
      <c r="AS20" s="5">
        <v>206.39382544116145</v>
      </c>
    </row>
    <row r="21" spans="1:45" s="3" customFormat="1" ht="27.6" x14ac:dyDescent="0.25">
      <c r="A21" s="8" t="s">
        <v>245</v>
      </c>
      <c r="B21" s="8"/>
      <c r="C21" s="8"/>
      <c r="D21" s="8"/>
      <c r="E21" s="8"/>
      <c r="F21" s="3">
        <v>10</v>
      </c>
      <c r="G21" s="3" t="s">
        <v>76</v>
      </c>
      <c r="H21" s="3">
        <v>2</v>
      </c>
      <c r="I21" s="4">
        <v>279.69254000000001</v>
      </c>
      <c r="K21" s="5">
        <v>21.106803101766726</v>
      </c>
      <c r="L21" s="5">
        <v>17.337516987768804</v>
      </c>
      <c r="M21" s="5">
        <v>61.55567991046447</v>
      </c>
      <c r="O21" s="5">
        <v>33.06304201936161</v>
      </c>
      <c r="P21" s="5">
        <v>2.2003016653438729</v>
      </c>
      <c r="Q21" s="6"/>
      <c r="R21" s="5">
        <v>3.8471787355938973</v>
      </c>
      <c r="S21" s="7"/>
      <c r="T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5">
        <v>333.6322869955157</v>
      </c>
      <c r="AS21" s="5">
        <v>188.9871223746745</v>
      </c>
    </row>
    <row r="22" spans="1:45" s="1" customFormat="1" x14ac:dyDescent="0.25">
      <c r="K22" s="9">
        <f>AVERAGE(K20:K21)</f>
        <v>17.350435063791785</v>
      </c>
      <c r="L22" s="1">
        <f t="shared" ref="L22" si="11">AVERAGE(L20:L21)</f>
        <v>18.588699324061011</v>
      </c>
      <c r="M22" s="1">
        <f t="shared" ref="M22" si="12">AVERAGE(M20:M21)</f>
        <v>64.060865612147211</v>
      </c>
      <c r="N22" s="1" t="s">
        <v>246</v>
      </c>
      <c r="O22" s="1">
        <f t="shared" ref="O22:AS22" si="13">AVERAGE(O20:O21)</f>
        <v>34.571252548439752</v>
      </c>
      <c r="P22" s="1">
        <f t="shared" si="13"/>
        <v>2.1669238568952016</v>
      </c>
      <c r="Q22" s="1" t="e">
        <f t="shared" si="13"/>
        <v>#DIV/0!</v>
      </c>
      <c r="R22" s="1">
        <f t="shared" si="13"/>
        <v>3.223286105224882</v>
      </c>
      <c r="S22" s="1" t="e">
        <f t="shared" si="13"/>
        <v>#DIV/0!</v>
      </c>
      <c r="T22" s="1" t="e">
        <f t="shared" si="13"/>
        <v>#DIV/0!</v>
      </c>
      <c r="U22" s="1" t="e">
        <f t="shared" si="13"/>
        <v>#DIV/0!</v>
      </c>
      <c r="V22" s="1" t="e">
        <f t="shared" si="13"/>
        <v>#DIV/0!</v>
      </c>
      <c r="W22" s="1" t="e">
        <f t="shared" si="13"/>
        <v>#DIV/0!</v>
      </c>
      <c r="X22" s="1" t="e">
        <f t="shared" si="13"/>
        <v>#DIV/0!</v>
      </c>
      <c r="Y22" s="1" t="e">
        <f t="shared" si="13"/>
        <v>#DIV/0!</v>
      </c>
      <c r="Z22" s="1" t="e">
        <f t="shared" si="13"/>
        <v>#DIV/0!</v>
      </c>
      <c r="AA22" s="1" t="e">
        <f t="shared" si="13"/>
        <v>#DIV/0!</v>
      </c>
      <c r="AB22" s="1" t="e">
        <f t="shared" si="13"/>
        <v>#DIV/0!</v>
      </c>
      <c r="AC22" s="1" t="e">
        <f t="shared" si="13"/>
        <v>#DIV/0!</v>
      </c>
      <c r="AD22" s="1" t="e">
        <f t="shared" si="13"/>
        <v>#DIV/0!</v>
      </c>
      <c r="AE22" s="1" t="e">
        <f t="shared" si="13"/>
        <v>#DIV/0!</v>
      </c>
      <c r="AF22" s="1" t="e">
        <f t="shared" si="13"/>
        <v>#DIV/0!</v>
      </c>
      <c r="AG22" s="1" t="e">
        <f t="shared" si="13"/>
        <v>#DIV/0!</v>
      </c>
      <c r="AH22" s="1" t="e">
        <f t="shared" si="13"/>
        <v>#DIV/0!</v>
      </c>
      <c r="AI22" s="1" t="e">
        <f t="shared" si="13"/>
        <v>#DIV/0!</v>
      </c>
      <c r="AJ22" s="1" t="e">
        <f t="shared" si="13"/>
        <v>#DIV/0!</v>
      </c>
      <c r="AK22" s="1" t="e">
        <f t="shared" si="13"/>
        <v>#DIV/0!</v>
      </c>
      <c r="AL22" s="1" t="e">
        <f t="shared" si="13"/>
        <v>#DIV/0!</v>
      </c>
      <c r="AM22" s="1" t="e">
        <f t="shared" si="13"/>
        <v>#DIV/0!</v>
      </c>
      <c r="AN22" s="1" t="e">
        <f t="shared" si="13"/>
        <v>#DIV/0!</v>
      </c>
      <c r="AO22" s="1" t="e">
        <f t="shared" si="13"/>
        <v>#DIV/0!</v>
      </c>
      <c r="AP22" s="1" t="e">
        <f t="shared" si="13"/>
        <v>#DIV/0!</v>
      </c>
      <c r="AQ22" s="1" t="e">
        <f t="shared" si="13"/>
        <v>#DIV/0!</v>
      </c>
      <c r="AR22" s="1">
        <f t="shared" si="13"/>
        <v>347.89102633752248</v>
      </c>
      <c r="AS22" s="1">
        <f t="shared" si="13"/>
        <v>197.69047390791798</v>
      </c>
    </row>
    <row r="25" spans="1:45" s="3" customFormat="1" x14ac:dyDescent="0.25">
      <c r="A25" s="2" t="s">
        <v>238</v>
      </c>
      <c r="B25" s="2"/>
      <c r="C25" s="2"/>
      <c r="D25" s="2"/>
      <c r="E25" s="2"/>
      <c r="F25" s="3">
        <v>5</v>
      </c>
      <c r="G25" s="3" t="s">
        <v>76</v>
      </c>
      <c r="H25" s="3">
        <v>4</v>
      </c>
      <c r="I25" s="4">
        <v>279.56522000000001</v>
      </c>
      <c r="K25" s="5">
        <v>11.120215030126198</v>
      </c>
      <c r="L25" s="5">
        <v>11.091237922041588</v>
      </c>
      <c r="M25" s="5">
        <v>77.788547047832211</v>
      </c>
      <c r="O25" s="5">
        <v>36.901108009958449</v>
      </c>
      <c r="P25" s="5">
        <v>2.3791288637524071</v>
      </c>
      <c r="Q25" s="6"/>
      <c r="R25" s="5">
        <v>4.8878819178356041</v>
      </c>
      <c r="S25" s="7"/>
      <c r="T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5">
        <v>172.72364217252408</v>
      </c>
      <c r="AS25" s="5">
        <v>94.807202755040294</v>
      </c>
    </row>
    <row r="26" spans="1:45" s="3" customFormat="1" ht="27.6" x14ac:dyDescent="0.25">
      <c r="A26" s="8" t="s">
        <v>239</v>
      </c>
      <c r="B26" s="8"/>
      <c r="C26" s="8"/>
      <c r="D26" s="8"/>
      <c r="E26" s="8"/>
      <c r="F26" s="3">
        <v>10</v>
      </c>
      <c r="G26" s="3" t="s">
        <v>76</v>
      </c>
      <c r="H26" s="3">
        <v>4</v>
      </c>
      <c r="I26" s="4">
        <v>279.56522000000001</v>
      </c>
      <c r="K26" s="5">
        <v>13.635069456585269</v>
      </c>
      <c r="L26" s="5">
        <v>11.089077258899982</v>
      </c>
      <c r="M26" s="5">
        <v>75.275853284514753</v>
      </c>
      <c r="O26" s="5">
        <v>30.795643381984888</v>
      </c>
      <c r="P26" s="5">
        <v>2.3702613176297267</v>
      </c>
      <c r="Q26" s="6"/>
      <c r="R26" s="5">
        <v>3.7211747908524808</v>
      </c>
      <c r="S26" s="7"/>
      <c r="T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5">
        <v>133.50602769751924</v>
      </c>
      <c r="AS26" s="5">
        <v>72.778304033302476</v>
      </c>
    </row>
    <row r="27" spans="1:45" s="3" customFormat="1" x14ac:dyDescent="0.25">
      <c r="A27" s="8" t="s">
        <v>240</v>
      </c>
      <c r="B27" s="8"/>
      <c r="C27" s="8"/>
      <c r="D27" s="8"/>
      <c r="E27" s="8"/>
      <c r="F27" s="3">
        <v>5</v>
      </c>
      <c r="G27" s="3" t="s">
        <v>76</v>
      </c>
      <c r="H27" s="3">
        <v>4</v>
      </c>
      <c r="I27" s="4">
        <v>279.49169999999998</v>
      </c>
      <c r="K27" s="5">
        <v>19.891523933905511</v>
      </c>
      <c r="L27" s="5">
        <v>9.838759217593898</v>
      </c>
      <c r="M27" s="5">
        <v>70.269716848500593</v>
      </c>
      <c r="O27" s="5">
        <v>49.219528820346774</v>
      </c>
      <c r="P27" s="5">
        <v>2.7454895528774141</v>
      </c>
      <c r="Q27" s="6"/>
      <c r="R27" s="5">
        <v>3.719256148770246</v>
      </c>
      <c r="S27" s="7"/>
      <c r="T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5">
        <v>139.79031452820769</v>
      </c>
      <c r="AS27" s="5">
        <v>76.283565967363472</v>
      </c>
    </row>
    <row r="28" spans="1:45" s="3" customFormat="1" ht="27.6" x14ac:dyDescent="0.25">
      <c r="A28" s="8" t="s">
        <v>241</v>
      </c>
      <c r="B28" s="8"/>
      <c r="C28" s="8"/>
      <c r="D28" s="8"/>
      <c r="E28" s="8"/>
      <c r="F28" s="3">
        <v>10</v>
      </c>
      <c r="G28" s="3" t="s">
        <v>76</v>
      </c>
      <c r="H28" s="3">
        <v>4</v>
      </c>
      <c r="I28" s="4">
        <v>279.49169999999998</v>
      </c>
      <c r="K28" s="5">
        <v>14.842578710644688</v>
      </c>
      <c r="L28" s="5">
        <v>11.09445277361319</v>
      </c>
      <c r="M28" s="5">
        <v>74.062968515742114</v>
      </c>
      <c r="O28" s="5">
        <v>80.467895892474885</v>
      </c>
      <c r="P28" s="5">
        <v>1.9768276762402048</v>
      </c>
      <c r="Q28" s="6"/>
      <c r="R28" s="5">
        <v>3.486281299946723</v>
      </c>
      <c r="S28" s="7"/>
      <c r="T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5">
        <v>158.06805708013178</v>
      </c>
      <c r="AS28" s="5">
        <v>86.537095243897213</v>
      </c>
    </row>
    <row r="29" spans="1:45" s="3" customFormat="1" x14ac:dyDescent="0.25">
      <c r="A29" s="8" t="s">
        <v>242</v>
      </c>
      <c r="B29" s="8"/>
      <c r="C29" s="8"/>
      <c r="D29" s="8"/>
      <c r="E29" s="8"/>
      <c r="F29" s="3">
        <v>5</v>
      </c>
      <c r="G29" s="3" t="s">
        <v>76</v>
      </c>
      <c r="H29" s="3">
        <v>3</v>
      </c>
      <c r="I29" s="4">
        <v>279.49770999999998</v>
      </c>
      <c r="K29" s="5">
        <v>9.8556641274013401</v>
      </c>
      <c r="L29" s="5">
        <v>12.342378581226091</v>
      </c>
      <c r="M29" s="5">
        <v>77.80195729137256</v>
      </c>
      <c r="O29" s="5">
        <v>37.18</v>
      </c>
      <c r="P29" s="5">
        <v>2.68</v>
      </c>
      <c r="Q29" s="6"/>
      <c r="R29" s="5">
        <v>3.4182908545727138</v>
      </c>
      <c r="S29" s="7"/>
      <c r="T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5">
        <v>176.18857371154598</v>
      </c>
      <c r="AS29" s="5">
        <v>96.768267105761907</v>
      </c>
    </row>
    <row r="30" spans="1:45" s="3" customFormat="1" ht="27.6" x14ac:dyDescent="0.25">
      <c r="A30" s="8" t="s">
        <v>243</v>
      </c>
      <c r="B30" s="8"/>
      <c r="C30" s="8"/>
      <c r="D30" s="8"/>
      <c r="E30" s="8"/>
      <c r="F30" s="3">
        <v>10</v>
      </c>
      <c r="G30" s="3" t="s">
        <v>76</v>
      </c>
      <c r="H30" s="3">
        <v>3</v>
      </c>
      <c r="I30" s="4">
        <v>279.49770999999998</v>
      </c>
      <c r="K30" s="5">
        <v>12.343828085957034</v>
      </c>
      <c r="L30" s="5">
        <v>11.09445277361319</v>
      </c>
      <c r="M30" s="5">
        <v>76.561719140429773</v>
      </c>
      <c r="O30" s="5">
        <v>31.505162672900848</v>
      </c>
      <c r="P30" s="5">
        <v>1.7902522916631802</v>
      </c>
      <c r="Q30" s="6"/>
      <c r="R30" s="5">
        <v>2.937356379258667</v>
      </c>
      <c r="S30" s="7"/>
      <c r="T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5">
        <v>188.18599082019543</v>
      </c>
      <c r="AS30" s="5">
        <v>103.58642255888444</v>
      </c>
    </row>
    <row r="31" spans="1:45" s="3" customFormat="1" x14ac:dyDescent="0.25">
      <c r="A31" s="8" t="s">
        <v>244</v>
      </c>
      <c r="B31" s="8"/>
      <c r="C31" s="8"/>
      <c r="D31" s="8"/>
      <c r="E31" s="8"/>
      <c r="F31" s="3">
        <v>5</v>
      </c>
      <c r="G31" s="3" t="s">
        <v>76</v>
      </c>
      <c r="H31" s="3">
        <v>2</v>
      </c>
      <c r="I31" s="4">
        <v>279.69254000000001</v>
      </c>
      <c r="K31" s="5">
        <v>13.594067025816841</v>
      </c>
      <c r="L31" s="5">
        <v>19.839881660353218</v>
      </c>
      <c r="M31" s="5">
        <v>66.566051313829945</v>
      </c>
      <c r="O31" s="5">
        <v>36.079463077517893</v>
      </c>
      <c r="P31" s="5">
        <v>2.1335460484465303</v>
      </c>
      <c r="Q31" s="6"/>
      <c r="R31" s="5">
        <v>2.5993934748558667</v>
      </c>
      <c r="S31" s="7"/>
      <c r="T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5">
        <v>362.14976567952931</v>
      </c>
      <c r="AS31" s="5">
        <v>206.39382544116145</v>
      </c>
    </row>
    <row r="32" spans="1:45" s="3" customFormat="1" ht="27.6" x14ac:dyDescent="0.25">
      <c r="A32" s="8" t="s">
        <v>245</v>
      </c>
      <c r="B32" s="8"/>
      <c r="C32" s="8"/>
      <c r="D32" s="8"/>
      <c r="E32" s="8"/>
      <c r="F32" s="3">
        <v>10</v>
      </c>
      <c r="G32" s="3" t="s">
        <v>76</v>
      </c>
      <c r="H32" s="3">
        <v>2</v>
      </c>
      <c r="I32" s="4">
        <v>279.69254000000001</v>
      </c>
      <c r="K32" s="5">
        <v>21.106803101766726</v>
      </c>
      <c r="L32" s="5">
        <v>17.337516987768804</v>
      </c>
      <c r="M32" s="5">
        <v>61.55567991046447</v>
      </c>
      <c r="O32" s="5">
        <v>33.06304201936161</v>
      </c>
      <c r="P32" s="5">
        <v>2.2003016653438729</v>
      </c>
      <c r="Q32" s="6"/>
      <c r="R32" s="5">
        <v>3.8471787355938973</v>
      </c>
      <c r="S32" s="7"/>
      <c r="T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5">
        <v>333.6322869955157</v>
      </c>
      <c r="AS32" s="5">
        <v>188.9871223746745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LF_Soil_10_data 030426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Morgan, Cheyenne M.</cp:lastModifiedBy>
  <dcterms:created xsi:type="dcterms:W3CDTF">2026-03-04T19:34:00Z</dcterms:created>
  <dcterms:modified xsi:type="dcterms:W3CDTF">2026-03-15T19:40:53Z</dcterms:modified>
</cp:coreProperties>
</file>